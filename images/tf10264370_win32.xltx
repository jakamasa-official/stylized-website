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480" yWindow="105" windowWidth="15480" windowHeight="10905"/>
  </bookViews>
  <sheets>
    <sheet name="予算管理表" sheetId="1" r:id="rId1"/>
    <sheet name="使い方" sheetId="4" r:id="rId2"/>
  </sheets>
  <definedNames>
    <definedName name="_xlnm.Print_Area" localSheetId="0">予算管理表!$A$1:$K$45</definedName>
    <definedName name="_xlnm.Print_Area" localSheetId="1">使い方!$A$1:$K$45</definedName>
  </definedNames>
  <calcPr calcId="145621"/>
</workbook>
</file>

<file path=xl/calcChain.xml><?xml version="1.0" encoding="utf-8"?>
<calcChain xmlns="http://schemas.openxmlformats.org/spreadsheetml/2006/main">
  <c r="H38" i="4" l="1"/>
  <c r="E38" i="4"/>
  <c r="H37" i="4"/>
  <c r="E37" i="4"/>
  <c r="H36" i="4"/>
  <c r="E36" i="4"/>
  <c r="H35" i="4"/>
  <c r="E35" i="4"/>
  <c r="H34" i="4"/>
  <c r="E34" i="4"/>
  <c r="H33" i="4"/>
  <c r="E33" i="4"/>
  <c r="H32" i="4"/>
  <c r="E32" i="4"/>
  <c r="H31" i="4"/>
  <c r="E31" i="4"/>
  <c r="H30" i="4"/>
  <c r="E30" i="4"/>
  <c r="H29" i="4"/>
  <c r="E29" i="4"/>
  <c r="H28" i="4"/>
  <c r="E28" i="4"/>
  <c r="H27" i="4"/>
  <c r="E27" i="4"/>
  <c r="H26" i="4"/>
  <c r="E26" i="4"/>
  <c r="H25" i="4"/>
  <c r="E25" i="4"/>
  <c r="H24" i="4"/>
  <c r="E24" i="4"/>
  <c r="H23" i="4"/>
  <c r="E23" i="4"/>
  <c r="H22" i="4"/>
  <c r="E22" i="4"/>
  <c r="H21" i="4"/>
  <c r="E21" i="4"/>
  <c r="H20" i="4"/>
  <c r="E20" i="4"/>
  <c r="H19" i="4"/>
  <c r="E19" i="4"/>
  <c r="H18" i="4"/>
  <c r="E18" i="4"/>
  <c r="H17" i="4"/>
  <c r="E17" i="4"/>
  <c r="H16" i="4"/>
  <c r="E16" i="4"/>
  <c r="H15" i="4"/>
  <c r="E15" i="4"/>
  <c r="H14" i="4"/>
  <c r="E14" i="4"/>
  <c r="H13" i="4"/>
  <c r="E13" i="4"/>
  <c r="H12" i="4"/>
  <c r="E12" i="4"/>
  <c r="H11" i="4"/>
  <c r="E11" i="4"/>
  <c r="H10" i="4"/>
  <c r="E10" i="4"/>
  <c r="H9" i="4"/>
  <c r="E9" i="4"/>
  <c r="H8" i="4"/>
  <c r="E8" i="4"/>
  <c r="H7" i="4"/>
  <c r="E7" i="4"/>
  <c r="H6" i="4"/>
  <c r="F39" i="4" s="1"/>
  <c r="F40" i="4" s="1"/>
  <c r="E6" i="4"/>
  <c r="C39" i="4" s="1"/>
  <c r="C40" i="4" s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  <c r="E6" i="1"/>
  <c r="C39" i="1" l="1"/>
  <c r="C40" i="1" s="1"/>
  <c r="F39" i="1"/>
  <c r="F40" i="1" s="1"/>
</calcChain>
</file>

<file path=xl/sharedStrings.xml><?xml version="1.0" encoding="utf-8"?>
<sst xmlns="http://schemas.openxmlformats.org/spreadsheetml/2006/main" count="106" uniqueCount="50">
  <si>
    <t>結婚式予算管理表</t>
    <rPh sb="0" eb="2">
      <t>ケッコン</t>
    </rPh>
    <rPh sb="2" eb="3">
      <t>シキ</t>
    </rPh>
    <rPh sb="3" eb="5">
      <t>ヨサン</t>
    </rPh>
    <rPh sb="5" eb="7">
      <t>カンリ</t>
    </rPh>
    <rPh sb="7" eb="8">
      <t>ヒョウ</t>
    </rPh>
    <phoneticPr fontId="2"/>
  </si>
  <si>
    <t>予算</t>
    <rPh sb="0" eb="2">
      <t>ヨサン</t>
    </rPh>
    <phoneticPr fontId="2"/>
  </si>
  <si>
    <t>項　目</t>
    <rPh sb="0" eb="1">
      <t>コウ</t>
    </rPh>
    <rPh sb="2" eb="3">
      <t>メ</t>
    </rPh>
    <phoneticPr fontId="2"/>
  </si>
  <si>
    <t>数量</t>
    <rPh sb="0" eb="2">
      <t>スウリョウ</t>
    </rPh>
    <phoneticPr fontId="2"/>
  </si>
  <si>
    <t>料金</t>
    <rPh sb="0" eb="2">
      <t>リョウキン</t>
    </rPh>
    <phoneticPr fontId="2"/>
  </si>
  <si>
    <t>金額</t>
    <rPh sb="0" eb="2">
      <t>キンガク</t>
    </rPh>
    <phoneticPr fontId="2"/>
  </si>
  <si>
    <t>挙式料</t>
    <rPh sb="0" eb="2">
      <t>キョシキ</t>
    </rPh>
    <rPh sb="2" eb="3">
      <t>リョウ</t>
    </rPh>
    <phoneticPr fontId="2"/>
  </si>
  <si>
    <t>会場料</t>
    <rPh sb="0" eb="2">
      <t>カイジョウ</t>
    </rPh>
    <rPh sb="2" eb="3">
      <t>リョウ</t>
    </rPh>
    <phoneticPr fontId="2"/>
  </si>
  <si>
    <t>料理</t>
    <rPh sb="0" eb="2">
      <t>リョウリ</t>
    </rPh>
    <phoneticPr fontId="2"/>
  </si>
  <si>
    <t>大人</t>
    <rPh sb="0" eb="2">
      <t>オトナ</t>
    </rPh>
    <phoneticPr fontId="2"/>
  </si>
  <si>
    <t>子供</t>
    <rPh sb="0" eb="2">
      <t>コドモ</t>
    </rPh>
    <phoneticPr fontId="2"/>
  </si>
  <si>
    <t>飲み物</t>
    <rPh sb="0" eb="1">
      <t>ノ</t>
    </rPh>
    <rPh sb="2" eb="3">
      <t>モノ</t>
    </rPh>
    <phoneticPr fontId="2"/>
  </si>
  <si>
    <t>介添料</t>
    <rPh sb="0" eb="2">
      <t>カイゾエ</t>
    </rPh>
    <rPh sb="2" eb="3">
      <t>リョウ</t>
    </rPh>
    <phoneticPr fontId="2"/>
  </si>
  <si>
    <t>控え室料</t>
    <rPh sb="0" eb="1">
      <t>ヒカ</t>
    </rPh>
    <rPh sb="2" eb="3">
      <t>シツ</t>
    </rPh>
    <rPh sb="3" eb="4">
      <t>リョウ</t>
    </rPh>
    <phoneticPr fontId="2"/>
  </si>
  <si>
    <t>司会者</t>
    <rPh sb="0" eb="3">
      <t>シカイシャ</t>
    </rPh>
    <phoneticPr fontId="2"/>
  </si>
  <si>
    <t>演出</t>
    <rPh sb="0" eb="2">
      <t>エンシュツ</t>
    </rPh>
    <phoneticPr fontId="2"/>
  </si>
  <si>
    <t>ケーキ入刀</t>
    <rPh sb="3" eb="4">
      <t>ニュウ</t>
    </rPh>
    <rPh sb="4" eb="5">
      <t>トウ</t>
    </rPh>
    <phoneticPr fontId="2"/>
  </si>
  <si>
    <t>キャンドルサービス</t>
  </si>
  <si>
    <t>装花</t>
    <rPh sb="0" eb="1">
      <t>ソウ</t>
    </rPh>
    <rPh sb="1" eb="2">
      <t>カ</t>
    </rPh>
    <phoneticPr fontId="2"/>
  </si>
  <si>
    <t>ウェディングケーキ</t>
  </si>
  <si>
    <t>メインテーブル</t>
  </si>
  <si>
    <t>卓上</t>
    <rPh sb="0" eb="2">
      <t>タクジョウ</t>
    </rPh>
    <phoneticPr fontId="2"/>
  </si>
  <si>
    <t>ブライダルキャンドル</t>
  </si>
  <si>
    <t>花束</t>
    <rPh sb="0" eb="2">
      <t>ハナタバ</t>
    </rPh>
    <phoneticPr fontId="2"/>
  </si>
  <si>
    <t>両親への贈呈用</t>
    <rPh sb="0" eb="2">
      <t>リョウシン</t>
    </rPh>
    <rPh sb="4" eb="7">
      <t>ゾウテイヨウ</t>
    </rPh>
    <phoneticPr fontId="2"/>
  </si>
  <si>
    <t>新郎新婦への贈呈用</t>
    <rPh sb="0" eb="2">
      <t>シンロウ</t>
    </rPh>
    <rPh sb="2" eb="4">
      <t>シンプ</t>
    </rPh>
    <rPh sb="6" eb="8">
      <t>ゾウテイ</t>
    </rPh>
    <rPh sb="8" eb="9">
      <t>ヨウ</t>
    </rPh>
    <phoneticPr fontId="2"/>
  </si>
  <si>
    <t>ブーケ・ブートニア</t>
  </si>
  <si>
    <t>衣装</t>
    <rPh sb="0" eb="2">
      <t>イショウ</t>
    </rPh>
    <phoneticPr fontId="2"/>
  </si>
  <si>
    <t>新郎</t>
    <rPh sb="0" eb="2">
      <t>シンロウ</t>
    </rPh>
    <phoneticPr fontId="2"/>
  </si>
  <si>
    <t>新婦（着付含む）</t>
    <rPh sb="0" eb="2">
      <t>シンプ</t>
    </rPh>
    <rPh sb="3" eb="5">
      <t>キツケ</t>
    </rPh>
    <rPh sb="5" eb="6">
      <t>フク</t>
    </rPh>
    <phoneticPr fontId="2"/>
  </si>
  <si>
    <t>音楽</t>
    <rPh sb="0" eb="2">
      <t>オンガク</t>
    </rPh>
    <phoneticPr fontId="2"/>
  </si>
  <si>
    <t>ビデオ（挙式＋披露宴）</t>
    <rPh sb="4" eb="6">
      <t>キョシキ</t>
    </rPh>
    <rPh sb="7" eb="10">
      <t>ヒロウエン</t>
    </rPh>
    <phoneticPr fontId="2"/>
  </si>
  <si>
    <t>写真</t>
    <rPh sb="0" eb="2">
      <t>シャシン</t>
    </rPh>
    <phoneticPr fontId="2"/>
  </si>
  <si>
    <t>スタジオ</t>
  </si>
  <si>
    <t>スナップ</t>
  </si>
  <si>
    <t>引き出物</t>
    <rPh sb="0" eb="1">
      <t>ヒ</t>
    </rPh>
    <rPh sb="2" eb="4">
      <t>デモノ</t>
    </rPh>
    <phoneticPr fontId="2"/>
  </si>
  <si>
    <t>心付け・お礼</t>
    <rPh sb="0" eb="2">
      <t>ココロヅ</t>
    </rPh>
    <rPh sb="5" eb="6">
      <t>レイ</t>
    </rPh>
    <phoneticPr fontId="2"/>
  </si>
  <si>
    <t>会場係</t>
    <rPh sb="0" eb="2">
      <t>カイジョウ</t>
    </rPh>
    <rPh sb="2" eb="3">
      <t>ガカリ</t>
    </rPh>
    <phoneticPr fontId="2"/>
  </si>
  <si>
    <t>美容師</t>
    <rPh sb="0" eb="3">
      <t>ビヨウシ</t>
    </rPh>
    <phoneticPr fontId="2"/>
  </si>
  <si>
    <t>着付係</t>
    <rPh sb="0" eb="2">
      <t>キツケ</t>
    </rPh>
    <rPh sb="2" eb="3">
      <t>ガカリ</t>
    </rPh>
    <phoneticPr fontId="2"/>
  </si>
  <si>
    <t>写真家</t>
    <rPh sb="0" eb="3">
      <t>シャシンカ</t>
    </rPh>
    <phoneticPr fontId="2"/>
  </si>
  <si>
    <t>受付係</t>
    <rPh sb="0" eb="2">
      <t>ウケツケ</t>
    </rPh>
    <rPh sb="2" eb="3">
      <t>ガカリ</t>
    </rPh>
    <phoneticPr fontId="2"/>
  </si>
  <si>
    <t>媒酌人</t>
    <rPh sb="0" eb="3">
      <t>バイシャクニン</t>
    </rPh>
    <phoneticPr fontId="2"/>
  </si>
  <si>
    <t>その他</t>
    <rPh sb="2" eb="3">
      <t>タ</t>
    </rPh>
    <phoneticPr fontId="2"/>
  </si>
  <si>
    <t>持ち帰り用ケーキ</t>
    <rPh sb="0" eb="1">
      <t>モ</t>
    </rPh>
    <rPh sb="2" eb="3">
      <t>カエ</t>
    </rPh>
    <rPh sb="4" eb="5">
      <t>ヨウ</t>
    </rPh>
    <phoneticPr fontId="2"/>
  </si>
  <si>
    <t>合計</t>
    <rPh sb="0" eb="2">
      <t>ゴウケイ</t>
    </rPh>
    <phoneticPr fontId="2"/>
  </si>
  <si>
    <t>予算との差分</t>
    <rPh sb="0" eb="2">
      <t>ヨサン</t>
    </rPh>
    <rPh sb="4" eb="6">
      <t>サブン</t>
    </rPh>
    <phoneticPr fontId="2"/>
  </si>
  <si>
    <t>予算案 2</t>
    <rPh sb="0" eb="2">
      <t>ヨサン</t>
    </rPh>
    <rPh sb="2" eb="3">
      <t>アン</t>
    </rPh>
    <phoneticPr fontId="2"/>
  </si>
  <si>
    <t>予算案 1</t>
    <rPh sb="0" eb="2">
      <t>ヨサン</t>
    </rPh>
    <rPh sb="2" eb="3">
      <t>アン</t>
    </rPh>
    <phoneticPr fontId="2"/>
  </si>
  <si>
    <t>Memo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</si>
</sst>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¥&quot;#,##0;[Red]&quot;¥&quot;\-#,##0"/>
    <numFmt numFmtId="165" formatCode="&quot;¥&quot;#,##0;[Red]\-&quot;¥&quot;#,##0;"/>
  </numFmts>
  <fonts count="15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8"/>
      <color theme="3"/>
      <name val="Cambria"/>
      <family val="2"/>
      <charset val="128"/>
      <scheme val="major"/>
    </font>
    <font>
      <sz val="6"/>
      <name val="Calibri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3" tint="-0.249977111117893"/>
      <name val="Calibri"/>
      <family val="3"/>
      <charset val="128"/>
      <scheme val="minor"/>
    </font>
    <font>
      <b/>
      <sz val="11"/>
      <color theme="3" tint="-0.249977111117893"/>
      <name val="Calibri"/>
      <family val="3"/>
      <charset val="128"/>
      <scheme val="minor"/>
    </font>
    <font>
      <b/>
      <sz val="14"/>
      <color theme="3" tint="-0.249977111117893"/>
      <name val="Calibri"/>
      <family val="3"/>
      <charset val="128"/>
      <scheme val="minor"/>
    </font>
    <font>
      <sz val="6"/>
      <color theme="1"/>
      <name val="Calibri"/>
      <family val="3"/>
      <charset val="128"/>
      <scheme val="minor"/>
    </font>
    <font>
      <b/>
      <sz val="11"/>
      <color theme="3" tint="-0.249977111117893"/>
      <name val="ＭＳ Ｐゴシック"/>
      <family val="3"/>
      <charset val="128"/>
    </font>
    <font>
      <sz val="11"/>
      <color theme="3" tint="-0.249977111117893"/>
      <name val="Verdana"/>
      <family val="2"/>
    </font>
    <font>
      <sz val="9"/>
      <color theme="3" tint="-0.249977111117893"/>
      <name val="Verdana"/>
      <family val="2"/>
    </font>
    <font>
      <b/>
      <sz val="11"/>
      <color theme="3" tint="-0.249977111117893"/>
      <name val="Verdana"/>
      <family val="2"/>
    </font>
    <font>
      <b/>
      <sz val="24"/>
      <color theme="3" tint="-0.249977111117893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gradientFill degree="270">
        <stop position="0">
          <color theme="0"/>
        </stop>
        <stop position="1">
          <color theme="6" tint="0.59999389629810485"/>
        </stop>
      </gradientFill>
    </fill>
    <fill>
      <gradientFill degree="90">
        <stop position="0">
          <color theme="0"/>
        </stop>
        <stop position="1">
          <color theme="9" tint="0.40000610370189521"/>
        </stop>
      </gradientFill>
    </fill>
    <fill>
      <gradientFill degree="270">
        <stop position="0">
          <color theme="0"/>
        </stop>
        <stop position="1">
          <color theme="9" tint="0.40000610370189521"/>
        </stop>
      </gradientFill>
    </fill>
  </fills>
  <borders count="37">
    <border>
      <left/>
      <right/>
      <top/>
      <bottom/>
      <diagonal/>
    </border>
    <border>
      <left style="thick">
        <color theme="3" tint="-0.24994659260841701"/>
      </left>
      <right style="thin">
        <color theme="3" tint="-0.24994659260841701"/>
      </right>
      <top style="thick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ck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theme="3" tint="-0.24994659260841701"/>
      </bottom>
      <diagonal/>
    </border>
    <border>
      <left style="thick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ck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ck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ck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ck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ck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ck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ck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ck">
        <color theme="3" tint="-0.24994659260841701"/>
      </right>
      <top style="thin">
        <color theme="3" tint="-0.24994659260841701"/>
      </top>
      <bottom style="dotted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dotted">
        <color theme="3" tint="-0.24994659260841701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dotted">
        <color theme="3" tint="-0.24994659260841701"/>
      </bottom>
      <diagonal/>
    </border>
    <border>
      <left style="thin">
        <color theme="3" tint="-0.24994659260841701"/>
      </left>
      <right style="thick">
        <color theme="3" tint="-0.24994659260841701"/>
      </right>
      <top style="dotted">
        <color theme="3" tint="-0.24994659260841701"/>
      </top>
      <bottom style="dotted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dotted">
        <color theme="3" tint="-0.24994659260841701"/>
      </top>
      <bottom style="dotted">
        <color theme="3" tint="-0.24994659260841701"/>
      </bottom>
      <diagonal/>
    </border>
    <border>
      <left style="thick">
        <color theme="3" tint="-0.24994659260841701"/>
      </left>
      <right/>
      <top style="thick">
        <color theme="3" tint="-0.24994659260841701"/>
      </top>
      <bottom style="thick">
        <color theme="3" tint="-0.24994659260841701"/>
      </bottom>
      <diagonal/>
    </border>
    <border>
      <left/>
      <right/>
      <top style="thick">
        <color theme="3" tint="-0.24994659260841701"/>
      </top>
      <bottom style="thick">
        <color theme="3" tint="-0.24994659260841701"/>
      </bottom>
      <diagonal/>
    </border>
    <border>
      <left/>
      <right style="thick">
        <color theme="3" tint="-0.24994659260841701"/>
      </right>
      <top style="thick">
        <color theme="3" tint="-0.24994659260841701"/>
      </top>
      <bottom style="thick">
        <color theme="3" tint="-0.24994659260841701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n">
        <color theme="3" tint="-0.24994659260841701"/>
      </top>
      <bottom style="thick">
        <color theme="3" tint="-0.24994659260841701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 style="thin">
        <color theme="3" tint="-0.24994659260841701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n">
        <color theme="3" tint="-0.24994659260841701"/>
      </top>
      <bottom style="dotted">
        <color theme="3" tint="-0.24994659260841701"/>
      </bottom>
      <diagonal/>
    </border>
    <border>
      <left style="thick">
        <color theme="3" tint="-0.24994659260841701"/>
      </left>
      <right style="thick">
        <color theme="3" tint="-0.24994659260841701"/>
      </right>
      <top style="dotted">
        <color theme="3" tint="-0.24994659260841701"/>
      </top>
      <bottom style="dotted">
        <color theme="3" tint="-0.24994659260841701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thick">
        <color theme="3" tint="-0.24994659260841701"/>
      </bottom>
      <diagonal/>
    </border>
    <border>
      <left/>
      <right/>
      <top style="thin">
        <color theme="3" tint="-0.24994659260841701"/>
      </top>
      <bottom style="thick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ck">
        <color theme="3" tint="-0.24994659260841701"/>
      </bottom>
      <diagonal/>
    </border>
    <border>
      <left/>
      <right style="thick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 style="thick">
        <color theme="3" tint="-0.24994659260841701"/>
      </right>
      <top style="thin">
        <color theme="3" tint="-0.24994659260841701"/>
      </top>
      <bottom style="thick">
        <color theme="3" tint="-0.24994659260841701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11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15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0" fontId="7" fillId="2" borderId="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9" fillId="0" borderId="22" xfId="0" applyFont="1" applyBorder="1" applyAlignment="1">
      <alignment horizontal="left" vertical="center"/>
    </xf>
    <xf numFmtId="0" fontId="9" fillId="0" borderId="25" xfId="0" applyFont="1" applyBorder="1" applyAlignment="1">
      <alignment horizontal="left" vertical="center"/>
    </xf>
    <xf numFmtId="0" fontId="9" fillId="0" borderId="24" xfId="0" applyFont="1" applyBorder="1" applyAlignment="1">
      <alignment horizontal="left" vertical="center"/>
    </xf>
    <xf numFmtId="0" fontId="9" fillId="0" borderId="27" xfId="0" applyFont="1" applyBorder="1" applyAlignment="1">
      <alignment horizontal="left" vertical="center"/>
    </xf>
    <xf numFmtId="0" fontId="9" fillId="0" borderId="26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10" fillId="0" borderId="19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38" fontId="12" fillId="0" borderId="5" xfId="1" applyFont="1" applyBorder="1" applyAlignment="1">
      <alignment horizontal="right" vertical="center"/>
    </xf>
    <xf numFmtId="38" fontId="12" fillId="0" borderId="15" xfId="1" applyFont="1" applyBorder="1" applyAlignment="1">
      <alignment horizontal="right" vertical="center"/>
    </xf>
    <xf numFmtId="38" fontId="12" fillId="0" borderId="10" xfId="1" applyFont="1" applyBorder="1" applyAlignment="1">
      <alignment horizontal="right" vertical="center"/>
    </xf>
    <xf numFmtId="38" fontId="12" fillId="0" borderId="11" xfId="1" applyFont="1" applyBorder="1" applyAlignment="1">
      <alignment horizontal="right" vertical="center"/>
    </xf>
    <xf numFmtId="38" fontId="12" fillId="0" borderId="18" xfId="1" applyFont="1" applyBorder="1" applyAlignment="1">
      <alignment horizontal="right" vertical="center"/>
    </xf>
    <xf numFmtId="165" fontId="12" fillId="4" borderId="6" xfId="1" applyNumberFormat="1" applyFont="1" applyFill="1" applyBorder="1" applyAlignment="1">
      <alignment horizontal="right" vertical="center"/>
    </xf>
    <xf numFmtId="165" fontId="12" fillId="4" borderId="14" xfId="1" applyNumberFormat="1" applyFont="1" applyFill="1" applyBorder="1" applyAlignment="1">
      <alignment horizontal="right" vertical="center"/>
    </xf>
    <xf numFmtId="165" fontId="12" fillId="4" borderId="13" xfId="1" applyNumberFormat="1" applyFont="1" applyFill="1" applyBorder="1" applyAlignment="1">
      <alignment horizontal="right" vertical="center"/>
    </xf>
    <xf numFmtId="165" fontId="12" fillId="4" borderId="12" xfId="1" applyNumberFormat="1" applyFont="1" applyFill="1" applyBorder="1" applyAlignment="1">
      <alignment horizontal="right" vertical="center"/>
    </xf>
    <xf numFmtId="165" fontId="12" fillId="4" borderId="17" xfId="1" applyNumberFormat="1" applyFont="1" applyFill="1" applyBorder="1" applyAlignment="1">
      <alignment horizontal="right" vertical="center"/>
    </xf>
    <xf numFmtId="165" fontId="12" fillId="2" borderId="5" xfId="1" applyNumberFormat="1" applyFont="1" applyFill="1" applyBorder="1" applyAlignment="1">
      <alignment horizontal="right" vertical="center"/>
    </xf>
    <xf numFmtId="165" fontId="12" fillId="2" borderId="15" xfId="1" applyNumberFormat="1" applyFont="1" applyFill="1" applyBorder="1" applyAlignment="1">
      <alignment horizontal="right" vertical="center"/>
    </xf>
    <xf numFmtId="165" fontId="12" fillId="2" borderId="10" xfId="1" applyNumberFormat="1" applyFont="1" applyFill="1" applyBorder="1" applyAlignment="1">
      <alignment horizontal="right" vertical="center"/>
    </xf>
    <xf numFmtId="165" fontId="12" fillId="2" borderId="11" xfId="1" applyNumberFormat="1" applyFont="1" applyFill="1" applyBorder="1" applyAlignment="1">
      <alignment horizontal="right" vertical="center"/>
    </xf>
    <xf numFmtId="165" fontId="12" fillId="2" borderId="18" xfId="1" applyNumberFormat="1" applyFont="1" applyFill="1" applyBorder="1" applyAlignment="1">
      <alignment horizontal="right" vertical="center"/>
    </xf>
    <xf numFmtId="0" fontId="14" fillId="0" borderId="0" xfId="0" applyFont="1" applyAlignment="1">
      <alignment vertical="center"/>
    </xf>
    <xf numFmtId="164" fontId="12" fillId="0" borderId="5" xfId="1" applyNumberFormat="1" applyFont="1" applyBorder="1" applyAlignment="1">
      <alignment horizontal="right" vertical="center"/>
    </xf>
    <xf numFmtId="164" fontId="12" fillId="0" borderId="15" xfId="1" applyNumberFormat="1" applyFont="1" applyBorder="1" applyAlignment="1">
      <alignment horizontal="right" vertical="center"/>
    </xf>
    <xf numFmtId="164" fontId="12" fillId="0" borderId="10" xfId="1" applyNumberFormat="1" applyFont="1" applyBorder="1" applyAlignment="1">
      <alignment horizontal="right" vertical="center"/>
    </xf>
    <xf numFmtId="164" fontId="12" fillId="0" borderId="11" xfId="1" applyNumberFormat="1" applyFont="1" applyBorder="1" applyAlignment="1">
      <alignment horizontal="right" vertical="center"/>
    </xf>
    <xf numFmtId="164" fontId="12" fillId="0" borderId="18" xfId="1" applyNumberFormat="1" applyFont="1" applyBorder="1" applyAlignment="1">
      <alignment horizontal="right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7" fillId="0" borderId="4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7" fillId="0" borderId="7" xfId="0" applyFont="1" applyBorder="1" applyAlignment="1">
      <alignment horizontal="right" vertical="center"/>
    </xf>
    <xf numFmtId="0" fontId="7" fillId="0" borderId="8" xfId="0" applyFont="1" applyBorder="1" applyAlignment="1">
      <alignment horizontal="right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165" fontId="11" fillId="2" borderId="28" xfId="0" applyNumberFormat="1" applyFont="1" applyFill="1" applyBorder="1" applyAlignment="1">
      <alignment horizontal="right" vertical="center"/>
    </xf>
    <xf numFmtId="165" fontId="11" fillId="2" borderId="29" xfId="0" applyNumberFormat="1" applyFont="1" applyFill="1" applyBorder="1" applyAlignment="1">
      <alignment horizontal="right" vertical="center"/>
    </xf>
    <xf numFmtId="165" fontId="11" fillId="2" borderId="30" xfId="0" applyNumberFormat="1" applyFont="1" applyFill="1" applyBorder="1" applyAlignment="1">
      <alignment horizontal="right" vertical="center"/>
    </xf>
    <xf numFmtId="165" fontId="11" fillId="2" borderId="31" xfId="0" applyNumberFormat="1" applyFont="1" applyFill="1" applyBorder="1" applyAlignment="1">
      <alignment horizontal="right" vertical="center"/>
    </xf>
    <xf numFmtId="165" fontId="11" fillId="2" borderId="32" xfId="0" applyNumberFormat="1" applyFont="1" applyFill="1" applyBorder="1" applyAlignment="1">
      <alignment horizontal="right" vertical="center"/>
    </xf>
    <xf numFmtId="165" fontId="11" fillId="2" borderId="33" xfId="0" applyNumberFormat="1" applyFont="1" applyFill="1" applyBorder="1" applyAlignment="1">
      <alignment horizontal="right" vertical="center"/>
    </xf>
    <xf numFmtId="165" fontId="11" fillId="4" borderId="28" xfId="0" applyNumberFormat="1" applyFont="1" applyFill="1" applyBorder="1" applyAlignment="1">
      <alignment horizontal="right" vertical="center"/>
    </xf>
    <xf numFmtId="165" fontId="11" fillId="4" borderId="29" xfId="0" applyNumberFormat="1" applyFont="1" applyFill="1" applyBorder="1" applyAlignment="1">
      <alignment horizontal="right" vertical="center"/>
    </xf>
    <xf numFmtId="165" fontId="11" fillId="4" borderId="34" xfId="0" applyNumberFormat="1" applyFont="1" applyFill="1" applyBorder="1" applyAlignment="1">
      <alignment horizontal="right" vertical="center"/>
    </xf>
    <xf numFmtId="165" fontId="11" fillId="4" borderId="31" xfId="0" applyNumberFormat="1" applyFont="1" applyFill="1" applyBorder="1" applyAlignment="1">
      <alignment horizontal="right" vertical="center"/>
    </xf>
    <xf numFmtId="165" fontId="11" fillId="4" borderId="32" xfId="0" applyNumberFormat="1" applyFont="1" applyFill="1" applyBorder="1" applyAlignment="1">
      <alignment horizontal="right" vertical="center"/>
    </xf>
    <xf numFmtId="165" fontId="11" fillId="4" borderId="35" xfId="0" applyNumberFormat="1" applyFont="1" applyFill="1" applyBorder="1" applyAlignment="1">
      <alignment horizontal="right" vertical="center"/>
    </xf>
    <xf numFmtId="165" fontId="11" fillId="0" borderId="20" xfId="1" applyNumberFormat="1" applyFont="1" applyBorder="1" applyAlignment="1">
      <alignment horizontal="right" vertical="center"/>
    </xf>
    <xf numFmtId="165" fontId="11" fillId="0" borderId="21" xfId="1" applyNumberFormat="1" applyFont="1" applyBorder="1" applyAlignment="1">
      <alignment horizontal="right" vertical="center"/>
    </xf>
    <xf numFmtId="0" fontId="13" fillId="0" borderId="36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</cellXfs>
  <cellStyles count="2">
    <cellStyle name="Comma [0]" xfId="1" builtinId="6"/>
    <cellStyle name="Normal" xfId="0" builtinId="0"/>
  </cellStyles>
  <dxfs count="0"/>
  <tableStyles count="0" defaultTableStyle="TableStyleMedium9" defaultPivotStyle="PivotStyleLight16"/>
  <colors>
    <mruColors>
      <color rgb="FF3399FF"/>
      <color rgb="FF66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104775</xdr:rowOff>
    </xdr:from>
    <xdr:to>
      <xdr:col>8</xdr:col>
      <xdr:colOff>66675</xdr:colOff>
      <xdr:row>0</xdr:row>
      <xdr:rowOff>466725</xdr:rowOff>
    </xdr:to>
    <xdr:sp macro="" textlink="">
      <xdr:nvSpPr>
        <xdr:cNvPr id="2" name="線吹き出し 2 (枠付き) 1"/>
        <xdr:cNvSpPr/>
      </xdr:nvSpPr>
      <xdr:spPr>
        <a:xfrm>
          <a:off x="5200650" y="104775"/>
          <a:ext cx="1019175" cy="361950"/>
        </a:xfrm>
        <a:prstGeom prst="borderCallout2">
          <a:avLst>
            <a:gd name="adj1" fmla="val 45066"/>
            <a:gd name="adj2" fmla="val 103817"/>
            <a:gd name="adj3" fmla="val 71382"/>
            <a:gd name="adj4" fmla="val 131931"/>
            <a:gd name="adj5" fmla="val 188816"/>
            <a:gd name="adj6" fmla="val 154268"/>
          </a:avLst>
        </a:prstGeom>
        <a:solidFill>
          <a:srgbClr val="FFFF00"/>
        </a:solidFill>
        <a:ln>
          <a:solidFill>
            <a:schemeClr val="accent6">
              <a:lumMod val="75000"/>
            </a:schemeClr>
          </a:solidFill>
          <a:prstDash val="sysDash"/>
          <a:round/>
          <a:tailEnd type="triangle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900" b="0" i="0">
              <a:solidFill>
                <a:srgbClr val="FF0000"/>
              </a:solidFill>
              <a:latin typeface="+mn-ea"/>
              <a:ea typeface="+mn-ea"/>
              <a:cs typeface="+mn-cs"/>
            </a:rPr>
            <a:t>予算金額を入力しておく</a:t>
          </a:r>
          <a:endParaRPr lang="ja-JP" sz="900">
            <a:solidFill>
              <a:srgbClr val="FF0000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8</xdr:col>
      <xdr:colOff>190500</xdr:colOff>
      <xdr:row>6</xdr:row>
      <xdr:rowOff>104775</xdr:rowOff>
    </xdr:from>
    <xdr:to>
      <xdr:col>8</xdr:col>
      <xdr:colOff>1209675</xdr:colOff>
      <xdr:row>9</xdr:row>
      <xdr:rowOff>161925</xdr:rowOff>
    </xdr:to>
    <xdr:sp macro="" textlink="">
      <xdr:nvSpPr>
        <xdr:cNvPr id="3" name="線吹き出し 2 (枠付き) 2"/>
        <xdr:cNvSpPr/>
      </xdr:nvSpPr>
      <xdr:spPr>
        <a:xfrm>
          <a:off x="6343650" y="2019300"/>
          <a:ext cx="1019175" cy="771525"/>
        </a:xfrm>
        <a:prstGeom prst="borderCallout2">
          <a:avLst>
            <a:gd name="adj1" fmla="val 34540"/>
            <a:gd name="adj2" fmla="val -7398"/>
            <a:gd name="adj3" fmla="val 50330"/>
            <a:gd name="adj4" fmla="val -93303"/>
            <a:gd name="adj5" fmla="val 91480"/>
            <a:gd name="adj6" fmla="val -167227"/>
          </a:avLst>
        </a:prstGeom>
        <a:solidFill>
          <a:srgbClr val="FFFF00"/>
        </a:solidFill>
        <a:ln>
          <a:solidFill>
            <a:schemeClr val="accent6">
              <a:lumMod val="75000"/>
            </a:schemeClr>
          </a:solidFill>
          <a:prstDash val="sysDash"/>
          <a:round/>
          <a:tailEnd type="triangle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rtl="0"/>
          <a:r>
            <a:rPr lang="ja-JP" altLang="en-US" sz="900" b="0" i="0">
              <a:solidFill>
                <a:srgbClr val="FF0000"/>
              </a:solidFill>
              <a:latin typeface="+mn-lt"/>
              <a:ea typeface="+mn-ea"/>
              <a:cs typeface="+mn-cs"/>
            </a:rPr>
            <a:t>セット料金の場合には数量に「</a:t>
          </a:r>
          <a:r>
            <a:rPr lang="en-US" sz="900" b="0" i="0">
              <a:solidFill>
                <a:srgbClr val="FF0000"/>
              </a:solidFill>
              <a:latin typeface="+mn-lt"/>
              <a:ea typeface="+mn-ea"/>
              <a:cs typeface="+mn-cs"/>
            </a:rPr>
            <a:t>1</a:t>
          </a:r>
          <a:r>
            <a:rPr lang="ja-JP" altLang="en-US" sz="900" b="0" i="0">
              <a:solidFill>
                <a:srgbClr val="FF0000"/>
              </a:solidFill>
              <a:latin typeface="+mn-lt"/>
              <a:ea typeface="+mn-ea"/>
              <a:cs typeface="+mn-cs"/>
            </a:rPr>
            <a:t>」を入力する</a:t>
          </a:r>
          <a:endParaRPr lang="ja-JP" sz="9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190500</xdr:colOff>
      <xdr:row>22</xdr:row>
      <xdr:rowOff>161926</xdr:rowOff>
    </xdr:from>
    <xdr:to>
      <xdr:col>8</xdr:col>
      <xdr:colOff>1209675</xdr:colOff>
      <xdr:row>25</xdr:row>
      <xdr:rowOff>1</xdr:rowOff>
    </xdr:to>
    <xdr:sp macro="" textlink="">
      <xdr:nvSpPr>
        <xdr:cNvPr id="4" name="線吹き出し 2 (枠付き) 3"/>
        <xdr:cNvSpPr/>
      </xdr:nvSpPr>
      <xdr:spPr>
        <a:xfrm>
          <a:off x="6343650" y="5886451"/>
          <a:ext cx="1019175" cy="552450"/>
        </a:xfrm>
        <a:prstGeom prst="borderCallout2">
          <a:avLst>
            <a:gd name="adj1" fmla="val 34540"/>
            <a:gd name="adj2" fmla="val -7398"/>
            <a:gd name="adj3" fmla="val 50330"/>
            <a:gd name="adj4" fmla="val -93303"/>
            <a:gd name="adj5" fmla="val 113894"/>
            <a:gd name="adj6" fmla="val -171900"/>
          </a:avLst>
        </a:prstGeom>
        <a:solidFill>
          <a:srgbClr val="FFFF00"/>
        </a:solidFill>
        <a:ln>
          <a:solidFill>
            <a:schemeClr val="accent6">
              <a:lumMod val="75000"/>
            </a:schemeClr>
          </a:solidFill>
          <a:prstDash val="sysDash"/>
          <a:round/>
          <a:tailEnd type="triangle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rtl="0"/>
          <a:r>
            <a:rPr lang="ja-JP" altLang="en-US" sz="900" b="0" i="0">
              <a:solidFill>
                <a:srgbClr val="FF0000"/>
              </a:solidFill>
              <a:latin typeface="+mn-lt"/>
              <a:ea typeface="+mn-ea"/>
              <a:cs typeface="+mn-cs"/>
            </a:rPr>
            <a:t>不要な場合は未入力にしておく</a:t>
          </a:r>
          <a:endParaRPr lang="ja-JP" sz="9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95250</xdr:colOff>
      <xdr:row>29</xdr:row>
      <xdr:rowOff>200026</xdr:rowOff>
    </xdr:from>
    <xdr:to>
      <xdr:col>4</xdr:col>
      <xdr:colOff>428625</xdr:colOff>
      <xdr:row>32</xdr:row>
      <xdr:rowOff>38101</xdr:rowOff>
    </xdr:to>
    <xdr:sp macro="" textlink="">
      <xdr:nvSpPr>
        <xdr:cNvPr id="5" name="線吹き出し 2 (枠付き) 4"/>
        <xdr:cNvSpPr/>
      </xdr:nvSpPr>
      <xdr:spPr>
        <a:xfrm>
          <a:off x="3028950" y="7591426"/>
          <a:ext cx="1019175" cy="552450"/>
        </a:xfrm>
        <a:prstGeom prst="borderCallout2">
          <a:avLst>
            <a:gd name="adj1" fmla="val 34540"/>
            <a:gd name="adj2" fmla="val -7398"/>
            <a:gd name="adj3" fmla="val 100330"/>
            <a:gd name="adj4" fmla="val -28817"/>
            <a:gd name="adj5" fmla="val 251825"/>
            <a:gd name="adj6" fmla="val -80311"/>
          </a:avLst>
        </a:prstGeom>
        <a:solidFill>
          <a:srgbClr val="FFFF00"/>
        </a:solidFill>
        <a:ln>
          <a:solidFill>
            <a:schemeClr val="accent6">
              <a:lumMod val="75000"/>
            </a:schemeClr>
          </a:solidFill>
          <a:prstDash val="sysDash"/>
          <a:round/>
          <a:tailEnd type="triangle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rtl="0"/>
          <a:r>
            <a:rPr lang="ja-JP" altLang="en-US" sz="900" b="0" i="0">
              <a:solidFill>
                <a:srgbClr val="FF0000"/>
              </a:solidFill>
              <a:latin typeface="+mn-lt"/>
              <a:ea typeface="+mn-ea"/>
              <a:cs typeface="+mn-cs"/>
            </a:rPr>
            <a:t>追加項目はここに作成する</a:t>
          </a:r>
          <a:endParaRPr lang="ja-JP" sz="9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152400</xdr:colOff>
      <xdr:row>33</xdr:row>
      <xdr:rowOff>38101</xdr:rowOff>
    </xdr:from>
    <xdr:to>
      <xdr:col>8</xdr:col>
      <xdr:colOff>1171575</xdr:colOff>
      <xdr:row>35</xdr:row>
      <xdr:rowOff>114301</xdr:rowOff>
    </xdr:to>
    <xdr:sp macro="" textlink="">
      <xdr:nvSpPr>
        <xdr:cNvPr id="6" name="線吹き出し 2 (枠付き) 5"/>
        <xdr:cNvSpPr/>
      </xdr:nvSpPr>
      <xdr:spPr>
        <a:xfrm>
          <a:off x="6305550" y="8382001"/>
          <a:ext cx="1019175" cy="552450"/>
        </a:xfrm>
        <a:prstGeom prst="borderCallout2">
          <a:avLst>
            <a:gd name="adj1" fmla="val 55230"/>
            <a:gd name="adj2" fmla="val -5529"/>
            <a:gd name="adj3" fmla="val 115847"/>
            <a:gd name="adj4" fmla="val -72742"/>
            <a:gd name="adj5" fmla="val 270791"/>
            <a:gd name="adj6" fmla="val -127975"/>
          </a:avLst>
        </a:prstGeom>
        <a:solidFill>
          <a:srgbClr val="FFFF00"/>
        </a:solidFill>
        <a:ln>
          <a:solidFill>
            <a:schemeClr val="accent6">
              <a:lumMod val="75000"/>
            </a:schemeClr>
          </a:solidFill>
          <a:prstDash val="sysDash"/>
          <a:round/>
          <a:tailEnd type="triangle"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rtl="0"/>
          <a:r>
            <a:rPr lang="ja-JP" altLang="en-US" sz="900" b="0" i="0">
              <a:solidFill>
                <a:srgbClr val="FF0000"/>
              </a:solidFill>
              <a:latin typeface="+mn-lt"/>
              <a:ea typeface="+mn-ea"/>
              <a:cs typeface="+mn-cs"/>
            </a:rPr>
            <a:t>予算との差分が表示される</a:t>
          </a:r>
          <a:endParaRPr lang="ja-JP" sz="9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438150</xdr:colOff>
      <xdr:row>38</xdr:row>
      <xdr:rowOff>180975</xdr:rowOff>
    </xdr:from>
    <xdr:to>
      <xdr:col>8</xdr:col>
      <xdr:colOff>85725</xdr:colOff>
      <xdr:row>40</xdr:row>
      <xdr:rowOff>66675</xdr:rowOff>
    </xdr:to>
    <xdr:sp macro="" textlink="">
      <xdr:nvSpPr>
        <xdr:cNvPr id="7" name="正方形/長方形 6"/>
        <xdr:cNvSpPr/>
      </xdr:nvSpPr>
      <xdr:spPr>
        <a:xfrm>
          <a:off x="1428750" y="9715500"/>
          <a:ext cx="4810125" cy="3619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0</xdr:col>
      <xdr:colOff>933451</xdr:colOff>
      <xdr:row>34</xdr:row>
      <xdr:rowOff>180975</xdr:rowOff>
    </xdr:from>
    <xdr:to>
      <xdr:col>8</xdr:col>
      <xdr:colOff>76201</xdr:colOff>
      <xdr:row>36</xdr:row>
      <xdr:rowOff>66675</xdr:rowOff>
    </xdr:to>
    <xdr:sp macro="" textlink="">
      <xdr:nvSpPr>
        <xdr:cNvPr id="8" name="正方形/長方形 7"/>
        <xdr:cNvSpPr/>
      </xdr:nvSpPr>
      <xdr:spPr>
        <a:xfrm>
          <a:off x="933451" y="8763000"/>
          <a:ext cx="5295900" cy="3619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4</xdr:col>
      <xdr:colOff>590551</xdr:colOff>
      <xdr:row>24</xdr:row>
      <xdr:rowOff>171450</xdr:rowOff>
    </xdr:from>
    <xdr:to>
      <xdr:col>6</xdr:col>
      <xdr:colOff>76201</xdr:colOff>
      <xdr:row>26</xdr:row>
      <xdr:rowOff>57150</xdr:rowOff>
    </xdr:to>
    <xdr:sp macro="" textlink="">
      <xdr:nvSpPr>
        <xdr:cNvPr id="9" name="正方形/長方形 8"/>
        <xdr:cNvSpPr/>
      </xdr:nvSpPr>
      <xdr:spPr>
        <a:xfrm>
          <a:off x="4210051" y="6372225"/>
          <a:ext cx="647700" cy="3619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4</xdr:col>
      <xdr:colOff>590551</xdr:colOff>
      <xdr:row>8</xdr:row>
      <xdr:rowOff>180975</xdr:rowOff>
    </xdr:from>
    <xdr:to>
      <xdr:col>6</xdr:col>
      <xdr:colOff>76201</xdr:colOff>
      <xdr:row>10</xdr:row>
      <xdr:rowOff>66675</xdr:rowOff>
    </xdr:to>
    <xdr:sp macro="" textlink="">
      <xdr:nvSpPr>
        <xdr:cNvPr id="10" name="正方形/長方形 9"/>
        <xdr:cNvSpPr/>
      </xdr:nvSpPr>
      <xdr:spPr>
        <a:xfrm>
          <a:off x="4210051" y="2571750"/>
          <a:ext cx="647700" cy="3619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1"/>
  <sheetViews>
    <sheetView showGridLines="0" tabSelected="1" zoomScaleNormal="100" workbookViewId="0"/>
  </sheetViews>
  <sheetFormatPr defaultRowHeight="15"/>
  <cols>
    <col min="1" max="1" width="13" customWidth="1"/>
    <col min="2" max="2" width="19.28515625" bestFit="1" customWidth="1"/>
    <col min="3" max="3" width="6.28515625" customWidth="1"/>
    <col min="6" max="6" width="6.28515625" customWidth="1"/>
    <col min="9" max="9" width="19.85546875" customWidth="1"/>
  </cols>
  <sheetData>
    <row r="1" spans="1:9" ht="46.5" customHeight="1" thickBot="1">
      <c r="A1" s="38" t="s">
        <v>0</v>
      </c>
      <c r="B1" s="1"/>
      <c r="C1" s="1"/>
      <c r="D1" s="1"/>
      <c r="E1" s="1"/>
      <c r="F1" s="1"/>
      <c r="G1" s="1"/>
      <c r="H1" s="1"/>
      <c r="I1" s="1"/>
    </row>
    <row r="2" spans="1:9" ht="30.75" customHeight="1" thickTop="1" thickBot="1">
      <c r="B2" s="1"/>
      <c r="C2" s="1"/>
      <c r="D2" s="1"/>
      <c r="E2" s="1"/>
      <c r="F2" s="17" t="s">
        <v>1</v>
      </c>
      <c r="G2" s="68"/>
      <c r="H2" s="68"/>
      <c r="I2" s="69"/>
    </row>
    <row r="3" spans="1:9" ht="8.25" customHeight="1" thickTop="1" thickBot="1">
      <c r="A3" s="1"/>
      <c r="B3" s="1"/>
      <c r="C3" s="1"/>
      <c r="D3" s="1"/>
      <c r="E3" s="1"/>
      <c r="F3" s="1"/>
      <c r="G3" s="1"/>
      <c r="H3" s="1"/>
      <c r="I3" s="1"/>
    </row>
    <row r="4" spans="1:9" ht="23.25" customHeight="1" thickTop="1">
      <c r="A4" s="52" t="s">
        <v>2</v>
      </c>
      <c r="B4" s="53"/>
      <c r="C4" s="50" t="s">
        <v>3</v>
      </c>
      <c r="D4" s="74" t="s">
        <v>48</v>
      </c>
      <c r="E4" s="74"/>
      <c r="F4" s="72" t="s">
        <v>3</v>
      </c>
      <c r="G4" s="75" t="s">
        <v>47</v>
      </c>
      <c r="H4" s="76"/>
      <c r="I4" s="70" t="s">
        <v>49</v>
      </c>
    </row>
    <row r="5" spans="1:9" ht="23.25" customHeight="1">
      <c r="A5" s="54"/>
      <c r="B5" s="55"/>
      <c r="C5" s="51"/>
      <c r="D5" s="8" t="s">
        <v>4</v>
      </c>
      <c r="E5" s="8" t="s">
        <v>5</v>
      </c>
      <c r="F5" s="73"/>
      <c r="G5" s="9" t="s">
        <v>4</v>
      </c>
      <c r="H5" s="10" t="s">
        <v>5</v>
      </c>
      <c r="I5" s="71"/>
    </row>
    <row r="6" spans="1:9" ht="18.95" customHeight="1">
      <c r="A6" s="44" t="s">
        <v>6</v>
      </c>
      <c r="B6" s="45"/>
      <c r="C6" s="18"/>
      <c r="D6" s="23"/>
      <c r="E6" s="33">
        <f>C6*D6</f>
        <v>0</v>
      </c>
      <c r="F6" s="18"/>
      <c r="G6" s="23"/>
      <c r="H6" s="28">
        <f>F6*G6</f>
        <v>0</v>
      </c>
      <c r="I6" s="11"/>
    </row>
    <row r="7" spans="1:9" ht="18.95" customHeight="1">
      <c r="A7" s="44" t="s">
        <v>7</v>
      </c>
      <c r="B7" s="45"/>
      <c r="C7" s="18"/>
      <c r="D7" s="23"/>
      <c r="E7" s="33">
        <f t="shared" ref="E7:E38" si="0">C7*D7</f>
        <v>0</v>
      </c>
      <c r="F7" s="18"/>
      <c r="G7" s="23"/>
      <c r="H7" s="28">
        <f t="shared" ref="H7:H38" si="1">F7*G7</f>
        <v>0</v>
      </c>
      <c r="I7" s="11"/>
    </row>
    <row r="8" spans="1:9" ht="18.95" customHeight="1">
      <c r="A8" s="44" t="s">
        <v>8</v>
      </c>
      <c r="B8" s="6" t="s">
        <v>9</v>
      </c>
      <c r="C8" s="19"/>
      <c r="D8" s="24"/>
      <c r="E8" s="34">
        <f t="shared" si="0"/>
        <v>0</v>
      </c>
      <c r="F8" s="19"/>
      <c r="G8" s="24"/>
      <c r="H8" s="29">
        <f t="shared" si="1"/>
        <v>0</v>
      </c>
      <c r="I8" s="12"/>
    </row>
    <row r="9" spans="1:9" ht="18.95" customHeight="1">
      <c r="A9" s="44"/>
      <c r="B9" s="4" t="s">
        <v>10</v>
      </c>
      <c r="C9" s="20"/>
      <c r="D9" s="25"/>
      <c r="E9" s="35">
        <f t="shared" si="0"/>
        <v>0</v>
      </c>
      <c r="F9" s="20"/>
      <c r="G9" s="25"/>
      <c r="H9" s="30">
        <f t="shared" si="1"/>
        <v>0</v>
      </c>
      <c r="I9" s="13"/>
    </row>
    <row r="10" spans="1:9" ht="18.95" customHeight="1">
      <c r="A10" s="44" t="s">
        <v>11</v>
      </c>
      <c r="B10" s="45"/>
      <c r="C10" s="18"/>
      <c r="D10" s="23"/>
      <c r="E10" s="33">
        <f t="shared" si="0"/>
        <v>0</v>
      </c>
      <c r="F10" s="18"/>
      <c r="G10" s="23"/>
      <c r="H10" s="28">
        <f t="shared" si="1"/>
        <v>0</v>
      </c>
      <c r="I10" s="11"/>
    </row>
    <row r="11" spans="1:9" ht="18.95" customHeight="1">
      <c r="A11" s="44" t="s">
        <v>12</v>
      </c>
      <c r="B11" s="45"/>
      <c r="C11" s="18"/>
      <c r="D11" s="23"/>
      <c r="E11" s="33">
        <f t="shared" si="0"/>
        <v>0</v>
      </c>
      <c r="F11" s="18"/>
      <c r="G11" s="23"/>
      <c r="H11" s="28">
        <f t="shared" si="1"/>
        <v>0</v>
      </c>
      <c r="I11" s="11"/>
    </row>
    <row r="12" spans="1:9" ht="18.95" customHeight="1">
      <c r="A12" s="44" t="s">
        <v>13</v>
      </c>
      <c r="B12" s="45"/>
      <c r="C12" s="18"/>
      <c r="D12" s="23"/>
      <c r="E12" s="33">
        <f t="shared" si="0"/>
        <v>0</v>
      </c>
      <c r="F12" s="18"/>
      <c r="G12" s="23"/>
      <c r="H12" s="28">
        <f t="shared" si="1"/>
        <v>0</v>
      </c>
      <c r="I12" s="11"/>
    </row>
    <row r="13" spans="1:9" ht="18.95" customHeight="1">
      <c r="A13" s="44" t="s">
        <v>14</v>
      </c>
      <c r="B13" s="45"/>
      <c r="C13" s="18"/>
      <c r="D13" s="23"/>
      <c r="E13" s="33">
        <f t="shared" si="0"/>
        <v>0</v>
      </c>
      <c r="F13" s="18"/>
      <c r="G13" s="23"/>
      <c r="H13" s="28">
        <f t="shared" si="1"/>
        <v>0</v>
      </c>
      <c r="I13" s="11"/>
    </row>
    <row r="14" spans="1:9" ht="18.95" customHeight="1">
      <c r="A14" s="44" t="s">
        <v>15</v>
      </c>
      <c r="B14" s="5" t="s">
        <v>16</v>
      </c>
      <c r="C14" s="19"/>
      <c r="D14" s="24"/>
      <c r="E14" s="34">
        <f t="shared" si="0"/>
        <v>0</v>
      </c>
      <c r="F14" s="19"/>
      <c r="G14" s="24"/>
      <c r="H14" s="29">
        <f t="shared" si="1"/>
        <v>0</v>
      </c>
      <c r="I14" s="12"/>
    </row>
    <row r="15" spans="1:9" ht="18.95" customHeight="1">
      <c r="A15" s="44"/>
      <c r="B15" s="4" t="s">
        <v>17</v>
      </c>
      <c r="C15" s="20"/>
      <c r="D15" s="25"/>
      <c r="E15" s="35">
        <f t="shared" si="0"/>
        <v>0</v>
      </c>
      <c r="F15" s="20"/>
      <c r="G15" s="25"/>
      <c r="H15" s="30">
        <f t="shared" si="1"/>
        <v>0</v>
      </c>
      <c r="I15" s="13"/>
    </row>
    <row r="16" spans="1:9" ht="18.95" customHeight="1">
      <c r="A16" s="44" t="s">
        <v>18</v>
      </c>
      <c r="B16" s="3" t="s">
        <v>19</v>
      </c>
      <c r="C16" s="21"/>
      <c r="D16" s="26"/>
      <c r="E16" s="36">
        <f t="shared" si="0"/>
        <v>0</v>
      </c>
      <c r="F16" s="21"/>
      <c r="G16" s="26"/>
      <c r="H16" s="31">
        <f t="shared" si="1"/>
        <v>0</v>
      </c>
      <c r="I16" s="14"/>
    </row>
    <row r="17" spans="1:9" ht="18.95" customHeight="1">
      <c r="A17" s="44"/>
      <c r="B17" s="7" t="s">
        <v>20</v>
      </c>
      <c r="C17" s="22"/>
      <c r="D17" s="27"/>
      <c r="E17" s="37">
        <f t="shared" si="0"/>
        <v>0</v>
      </c>
      <c r="F17" s="22"/>
      <c r="G17" s="27"/>
      <c r="H17" s="32">
        <f t="shared" si="1"/>
        <v>0</v>
      </c>
      <c r="I17" s="15"/>
    </row>
    <row r="18" spans="1:9" ht="18.95" customHeight="1">
      <c r="A18" s="44"/>
      <c r="B18" s="7" t="s">
        <v>21</v>
      </c>
      <c r="C18" s="22"/>
      <c r="D18" s="27"/>
      <c r="E18" s="37">
        <f t="shared" si="0"/>
        <v>0</v>
      </c>
      <c r="F18" s="22"/>
      <c r="G18" s="27"/>
      <c r="H18" s="32">
        <f t="shared" si="1"/>
        <v>0</v>
      </c>
      <c r="I18" s="15"/>
    </row>
    <row r="19" spans="1:9" ht="18.95" customHeight="1">
      <c r="A19" s="44"/>
      <c r="B19" s="4" t="s">
        <v>22</v>
      </c>
      <c r="C19" s="20"/>
      <c r="D19" s="25"/>
      <c r="E19" s="35">
        <f t="shared" si="0"/>
        <v>0</v>
      </c>
      <c r="F19" s="20"/>
      <c r="G19" s="25"/>
      <c r="H19" s="30">
        <f t="shared" si="1"/>
        <v>0</v>
      </c>
      <c r="I19" s="13"/>
    </row>
    <row r="20" spans="1:9" ht="18.95" customHeight="1">
      <c r="A20" s="44" t="s">
        <v>23</v>
      </c>
      <c r="B20" s="5" t="s">
        <v>24</v>
      </c>
      <c r="C20" s="19"/>
      <c r="D20" s="24"/>
      <c r="E20" s="34">
        <f t="shared" si="0"/>
        <v>0</v>
      </c>
      <c r="F20" s="19"/>
      <c r="G20" s="24"/>
      <c r="H20" s="29">
        <f t="shared" si="1"/>
        <v>0</v>
      </c>
      <c r="I20" s="12"/>
    </row>
    <row r="21" spans="1:9" ht="18.95" customHeight="1">
      <c r="A21" s="44"/>
      <c r="B21" s="4" t="s">
        <v>25</v>
      </c>
      <c r="C21" s="20"/>
      <c r="D21" s="25"/>
      <c r="E21" s="35">
        <f t="shared" si="0"/>
        <v>0</v>
      </c>
      <c r="F21" s="20"/>
      <c r="G21" s="25"/>
      <c r="H21" s="30">
        <f t="shared" si="1"/>
        <v>0</v>
      </c>
      <c r="I21" s="13"/>
    </row>
    <row r="22" spans="1:9" ht="18.95" customHeight="1">
      <c r="A22" s="44" t="s">
        <v>26</v>
      </c>
      <c r="B22" s="45"/>
      <c r="C22" s="18"/>
      <c r="D22" s="23"/>
      <c r="E22" s="33">
        <f t="shared" si="0"/>
        <v>0</v>
      </c>
      <c r="F22" s="18"/>
      <c r="G22" s="23"/>
      <c r="H22" s="28">
        <f t="shared" si="1"/>
        <v>0</v>
      </c>
      <c r="I22" s="11"/>
    </row>
    <row r="23" spans="1:9" ht="18.95" customHeight="1">
      <c r="A23" s="44" t="s">
        <v>27</v>
      </c>
      <c r="B23" s="5" t="s">
        <v>28</v>
      </c>
      <c r="C23" s="19"/>
      <c r="D23" s="24"/>
      <c r="E23" s="34">
        <f t="shared" si="0"/>
        <v>0</v>
      </c>
      <c r="F23" s="19"/>
      <c r="G23" s="24"/>
      <c r="H23" s="29">
        <f t="shared" si="1"/>
        <v>0</v>
      </c>
      <c r="I23" s="12"/>
    </row>
    <row r="24" spans="1:9" ht="18.95" customHeight="1">
      <c r="A24" s="44"/>
      <c r="B24" s="4" t="s">
        <v>29</v>
      </c>
      <c r="C24" s="20"/>
      <c r="D24" s="25"/>
      <c r="E24" s="35">
        <f t="shared" si="0"/>
        <v>0</v>
      </c>
      <c r="F24" s="20"/>
      <c r="G24" s="25"/>
      <c r="H24" s="30">
        <f t="shared" si="1"/>
        <v>0</v>
      </c>
      <c r="I24" s="13"/>
    </row>
    <row r="25" spans="1:9" ht="18.95" customHeight="1">
      <c r="A25" s="44" t="s">
        <v>30</v>
      </c>
      <c r="B25" s="45"/>
      <c r="C25" s="18"/>
      <c r="D25" s="23"/>
      <c r="E25" s="33">
        <f t="shared" si="0"/>
        <v>0</v>
      </c>
      <c r="F25" s="18"/>
      <c r="G25" s="23"/>
      <c r="H25" s="28">
        <f t="shared" si="1"/>
        <v>0</v>
      </c>
      <c r="I25" s="11"/>
    </row>
    <row r="26" spans="1:9" ht="18.95" customHeight="1">
      <c r="A26" s="44" t="s">
        <v>31</v>
      </c>
      <c r="B26" s="45"/>
      <c r="C26" s="18"/>
      <c r="D26" s="23"/>
      <c r="E26" s="33">
        <f t="shared" si="0"/>
        <v>0</v>
      </c>
      <c r="F26" s="18"/>
      <c r="G26" s="23"/>
      <c r="H26" s="28">
        <f t="shared" si="1"/>
        <v>0</v>
      </c>
      <c r="I26" s="11"/>
    </row>
    <row r="27" spans="1:9" ht="18.95" customHeight="1">
      <c r="A27" s="44" t="s">
        <v>32</v>
      </c>
      <c r="B27" s="5" t="s">
        <v>33</v>
      </c>
      <c r="C27" s="19"/>
      <c r="D27" s="24"/>
      <c r="E27" s="34">
        <f t="shared" si="0"/>
        <v>0</v>
      </c>
      <c r="F27" s="19"/>
      <c r="G27" s="24"/>
      <c r="H27" s="29">
        <f t="shared" si="1"/>
        <v>0</v>
      </c>
      <c r="I27" s="12"/>
    </row>
    <row r="28" spans="1:9" ht="18.95" customHeight="1">
      <c r="A28" s="44"/>
      <c r="B28" s="4" t="s">
        <v>34</v>
      </c>
      <c r="C28" s="20"/>
      <c r="D28" s="25"/>
      <c r="E28" s="35">
        <f t="shared" si="0"/>
        <v>0</v>
      </c>
      <c r="F28" s="20"/>
      <c r="G28" s="25"/>
      <c r="H28" s="30">
        <f t="shared" si="1"/>
        <v>0</v>
      </c>
      <c r="I28" s="13"/>
    </row>
    <row r="29" spans="1:9" ht="18.95" customHeight="1">
      <c r="A29" s="44" t="s">
        <v>35</v>
      </c>
      <c r="B29" s="45"/>
      <c r="C29" s="18"/>
      <c r="D29" s="23"/>
      <c r="E29" s="33">
        <f t="shared" si="0"/>
        <v>0</v>
      </c>
      <c r="F29" s="18"/>
      <c r="G29" s="23"/>
      <c r="H29" s="28">
        <f t="shared" si="1"/>
        <v>0</v>
      </c>
      <c r="I29" s="11"/>
    </row>
    <row r="30" spans="1:9" ht="18.95" customHeight="1">
      <c r="A30" s="44" t="s">
        <v>36</v>
      </c>
      <c r="B30" s="3" t="s">
        <v>37</v>
      </c>
      <c r="C30" s="21"/>
      <c r="D30" s="26"/>
      <c r="E30" s="36">
        <f t="shared" si="0"/>
        <v>0</v>
      </c>
      <c r="F30" s="21"/>
      <c r="G30" s="26"/>
      <c r="H30" s="31">
        <f t="shared" si="1"/>
        <v>0</v>
      </c>
      <c r="I30" s="14"/>
    </row>
    <row r="31" spans="1:9" ht="18.95" customHeight="1">
      <c r="A31" s="44"/>
      <c r="B31" s="7" t="s">
        <v>38</v>
      </c>
      <c r="C31" s="22"/>
      <c r="D31" s="27"/>
      <c r="E31" s="37">
        <f t="shared" si="0"/>
        <v>0</v>
      </c>
      <c r="F31" s="22"/>
      <c r="G31" s="27"/>
      <c r="H31" s="32">
        <f t="shared" si="1"/>
        <v>0</v>
      </c>
      <c r="I31" s="15"/>
    </row>
    <row r="32" spans="1:9" ht="18.95" customHeight="1">
      <c r="A32" s="44"/>
      <c r="B32" s="7" t="s">
        <v>39</v>
      </c>
      <c r="C32" s="22"/>
      <c r="D32" s="27"/>
      <c r="E32" s="37">
        <f t="shared" si="0"/>
        <v>0</v>
      </c>
      <c r="F32" s="22"/>
      <c r="G32" s="27"/>
      <c r="H32" s="32">
        <f t="shared" si="1"/>
        <v>0</v>
      </c>
      <c r="I32" s="15"/>
    </row>
    <row r="33" spans="1:9" ht="18.95" customHeight="1">
      <c r="A33" s="44"/>
      <c r="B33" s="7" t="s">
        <v>40</v>
      </c>
      <c r="C33" s="22"/>
      <c r="D33" s="27"/>
      <c r="E33" s="37">
        <f t="shared" si="0"/>
        <v>0</v>
      </c>
      <c r="F33" s="22"/>
      <c r="G33" s="27"/>
      <c r="H33" s="32">
        <f t="shared" si="1"/>
        <v>0</v>
      </c>
      <c r="I33" s="15"/>
    </row>
    <row r="34" spans="1:9" ht="18.95" customHeight="1">
      <c r="A34" s="44"/>
      <c r="B34" s="7" t="s">
        <v>41</v>
      </c>
      <c r="C34" s="22"/>
      <c r="D34" s="27"/>
      <c r="E34" s="37">
        <f t="shared" si="0"/>
        <v>0</v>
      </c>
      <c r="F34" s="22"/>
      <c r="G34" s="27"/>
      <c r="H34" s="32">
        <f t="shared" si="1"/>
        <v>0</v>
      </c>
      <c r="I34" s="15"/>
    </row>
    <row r="35" spans="1:9" ht="18.95" customHeight="1">
      <c r="A35" s="44"/>
      <c r="B35" s="4" t="s">
        <v>42</v>
      </c>
      <c r="C35" s="20"/>
      <c r="D35" s="25"/>
      <c r="E35" s="35">
        <f t="shared" si="0"/>
        <v>0</v>
      </c>
      <c r="F35" s="20"/>
      <c r="G35" s="25"/>
      <c r="H35" s="30">
        <f t="shared" si="1"/>
        <v>0</v>
      </c>
      <c r="I35" s="13"/>
    </row>
    <row r="36" spans="1:9" ht="18.95" customHeight="1">
      <c r="A36" s="44" t="s">
        <v>43</v>
      </c>
      <c r="B36" s="3" t="s">
        <v>44</v>
      </c>
      <c r="C36" s="21"/>
      <c r="D36" s="26"/>
      <c r="E36" s="36">
        <f t="shared" si="0"/>
        <v>0</v>
      </c>
      <c r="F36" s="21"/>
      <c r="G36" s="26"/>
      <c r="H36" s="31">
        <f t="shared" si="1"/>
        <v>0</v>
      </c>
      <c r="I36" s="14"/>
    </row>
    <row r="37" spans="1:9" ht="18.95" customHeight="1">
      <c r="A37" s="44"/>
      <c r="B37" s="7"/>
      <c r="C37" s="22"/>
      <c r="D37" s="27"/>
      <c r="E37" s="37">
        <f t="shared" si="0"/>
        <v>0</v>
      </c>
      <c r="F37" s="22"/>
      <c r="G37" s="27"/>
      <c r="H37" s="32">
        <f t="shared" si="1"/>
        <v>0</v>
      </c>
      <c r="I37" s="15"/>
    </row>
    <row r="38" spans="1:9" ht="18.95" customHeight="1">
      <c r="A38" s="44"/>
      <c r="B38" s="4"/>
      <c r="C38" s="20"/>
      <c r="D38" s="25"/>
      <c r="E38" s="35">
        <f t="shared" si="0"/>
        <v>0</v>
      </c>
      <c r="F38" s="20"/>
      <c r="G38" s="25"/>
      <c r="H38" s="30">
        <f t="shared" si="1"/>
        <v>0</v>
      </c>
      <c r="I38" s="13"/>
    </row>
    <row r="39" spans="1:9" ht="18.95" customHeight="1">
      <c r="A39" s="46" t="s">
        <v>45</v>
      </c>
      <c r="B39" s="47"/>
      <c r="C39" s="56">
        <f>SUM(E6:E38)</f>
        <v>0</v>
      </c>
      <c r="D39" s="57"/>
      <c r="E39" s="58"/>
      <c r="F39" s="62">
        <f>SUM(H6:H38)</f>
        <v>0</v>
      </c>
      <c r="G39" s="63"/>
      <c r="H39" s="64"/>
      <c r="I39" s="11"/>
    </row>
    <row r="40" spans="1:9" ht="18.95" customHeight="1" thickBot="1">
      <c r="A40" s="48" t="s">
        <v>46</v>
      </c>
      <c r="B40" s="49"/>
      <c r="C40" s="59">
        <f>G2-C39</f>
        <v>0</v>
      </c>
      <c r="D40" s="60"/>
      <c r="E40" s="61"/>
      <c r="F40" s="65">
        <f>G2-F39</f>
        <v>0</v>
      </c>
      <c r="G40" s="66"/>
      <c r="H40" s="67"/>
      <c r="I40" s="16"/>
    </row>
    <row r="41" spans="1:9" ht="15.75" thickTop="1">
      <c r="A41" s="2"/>
      <c r="B41" s="2"/>
      <c r="C41" s="2"/>
      <c r="D41" s="2"/>
      <c r="E41" s="2"/>
      <c r="F41" s="2"/>
      <c r="G41" s="2"/>
      <c r="H41" s="2"/>
      <c r="I41" s="2"/>
    </row>
  </sheetData>
  <mergeCells count="31">
    <mergeCell ref="C39:E39"/>
    <mergeCell ref="C40:E40"/>
    <mergeCell ref="F39:H39"/>
    <mergeCell ref="F40:H40"/>
    <mergeCell ref="G2:I2"/>
    <mergeCell ref="I4:I5"/>
    <mergeCell ref="F4:F5"/>
    <mergeCell ref="D4:E4"/>
    <mergeCell ref="G4:H4"/>
    <mergeCell ref="A29:B29"/>
    <mergeCell ref="A36:A38"/>
    <mergeCell ref="A39:B39"/>
    <mergeCell ref="A40:B40"/>
    <mergeCell ref="C4:C5"/>
    <mergeCell ref="A30:A35"/>
    <mergeCell ref="A4:B5"/>
    <mergeCell ref="A6:B6"/>
    <mergeCell ref="A7:B7"/>
    <mergeCell ref="A10:B10"/>
    <mergeCell ref="A11:B11"/>
    <mergeCell ref="A12:B12"/>
    <mergeCell ref="A13:B13"/>
    <mergeCell ref="A8:A9"/>
    <mergeCell ref="A14:A15"/>
    <mergeCell ref="A16:A19"/>
    <mergeCell ref="A20:A21"/>
    <mergeCell ref="A23:A24"/>
    <mergeCell ref="A27:A28"/>
    <mergeCell ref="A25:B25"/>
    <mergeCell ref="A26:B26"/>
    <mergeCell ref="A22:B22"/>
  </mergeCells>
  <phoneticPr fontId="3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I41"/>
  <sheetViews>
    <sheetView showGridLines="0" zoomScaleNormal="100" workbookViewId="0"/>
  </sheetViews>
  <sheetFormatPr defaultRowHeight="15"/>
  <cols>
    <col min="1" max="1" width="13" customWidth="1"/>
    <col min="2" max="2" width="19.28515625" bestFit="1" customWidth="1"/>
    <col min="3" max="3" width="6.28515625" customWidth="1"/>
    <col min="6" max="6" width="6.28515625" customWidth="1"/>
    <col min="9" max="9" width="19.85546875" customWidth="1"/>
  </cols>
  <sheetData>
    <row r="1" spans="1:9" ht="46.5" customHeight="1" thickBot="1">
      <c r="A1" s="38" t="s">
        <v>0</v>
      </c>
      <c r="B1" s="1"/>
      <c r="C1" s="1"/>
      <c r="D1" s="1"/>
      <c r="E1" s="1"/>
      <c r="F1" s="1"/>
      <c r="G1" s="1"/>
      <c r="H1" s="1"/>
      <c r="I1" s="1"/>
    </row>
    <row r="2" spans="1:9" ht="30.75" customHeight="1" thickTop="1" thickBot="1">
      <c r="B2" s="1"/>
      <c r="C2" s="1"/>
      <c r="D2" s="1"/>
      <c r="E2" s="1"/>
      <c r="F2" s="17" t="s">
        <v>1</v>
      </c>
      <c r="G2" s="68">
        <v>2500000</v>
      </c>
      <c r="H2" s="68"/>
      <c r="I2" s="69"/>
    </row>
    <row r="3" spans="1:9" ht="8.25" customHeight="1" thickTop="1" thickBot="1">
      <c r="A3" s="1"/>
      <c r="B3" s="1"/>
      <c r="C3" s="1"/>
      <c r="D3" s="1"/>
      <c r="E3" s="1"/>
      <c r="F3" s="1"/>
      <c r="G3" s="1"/>
      <c r="H3" s="1"/>
      <c r="I3" s="1"/>
    </row>
    <row r="4" spans="1:9" ht="23.25" customHeight="1" thickTop="1">
      <c r="A4" s="52" t="s">
        <v>2</v>
      </c>
      <c r="B4" s="53"/>
      <c r="C4" s="50" t="s">
        <v>3</v>
      </c>
      <c r="D4" s="74" t="s">
        <v>48</v>
      </c>
      <c r="E4" s="74"/>
      <c r="F4" s="72" t="s">
        <v>3</v>
      </c>
      <c r="G4" s="75" t="s">
        <v>47</v>
      </c>
      <c r="H4" s="76"/>
      <c r="I4" s="70" t="s">
        <v>49</v>
      </c>
    </row>
    <row r="5" spans="1:9" ht="23.25" customHeight="1">
      <c r="A5" s="54"/>
      <c r="B5" s="55"/>
      <c r="C5" s="51"/>
      <c r="D5" s="8" t="s">
        <v>4</v>
      </c>
      <c r="E5" s="8" t="s">
        <v>5</v>
      </c>
      <c r="F5" s="73"/>
      <c r="G5" s="9" t="s">
        <v>4</v>
      </c>
      <c r="H5" s="10" t="s">
        <v>5</v>
      </c>
      <c r="I5" s="71"/>
    </row>
    <row r="6" spans="1:9" ht="18.95" customHeight="1">
      <c r="A6" s="44" t="s">
        <v>6</v>
      </c>
      <c r="B6" s="45"/>
      <c r="C6" s="18">
        <v>1</v>
      </c>
      <c r="D6" s="39">
        <v>150000</v>
      </c>
      <c r="E6" s="33">
        <f>C6*D6</f>
        <v>150000</v>
      </c>
      <c r="F6" s="18">
        <v>1</v>
      </c>
      <c r="G6" s="39">
        <v>200000</v>
      </c>
      <c r="H6" s="28">
        <f>F6*G6</f>
        <v>200000</v>
      </c>
      <c r="I6" s="11"/>
    </row>
    <row r="7" spans="1:9" ht="18.95" customHeight="1">
      <c r="A7" s="44" t="s">
        <v>7</v>
      </c>
      <c r="B7" s="45"/>
      <c r="C7" s="18">
        <v>1</v>
      </c>
      <c r="D7" s="39">
        <v>100000</v>
      </c>
      <c r="E7" s="33">
        <f t="shared" ref="E7:E38" si="0">C7*D7</f>
        <v>100000</v>
      </c>
      <c r="F7" s="18">
        <v>1</v>
      </c>
      <c r="G7" s="39">
        <v>100000</v>
      </c>
      <c r="H7" s="28">
        <f t="shared" ref="H7:H38" si="1">F7*G7</f>
        <v>100000</v>
      </c>
      <c r="I7" s="11"/>
    </row>
    <row r="8" spans="1:9" ht="18.95" customHeight="1">
      <c r="A8" s="44" t="s">
        <v>8</v>
      </c>
      <c r="B8" s="6" t="s">
        <v>9</v>
      </c>
      <c r="C8" s="19">
        <v>50</v>
      </c>
      <c r="D8" s="40">
        <v>12000</v>
      </c>
      <c r="E8" s="34">
        <f t="shared" si="0"/>
        <v>600000</v>
      </c>
      <c r="F8" s="19">
        <v>48</v>
      </c>
      <c r="G8" s="40">
        <v>15000</v>
      </c>
      <c r="H8" s="29">
        <f t="shared" si="1"/>
        <v>720000</v>
      </c>
      <c r="I8" s="12"/>
    </row>
    <row r="9" spans="1:9" ht="18.95" customHeight="1">
      <c r="A9" s="44"/>
      <c r="B9" s="4" t="s">
        <v>10</v>
      </c>
      <c r="C9" s="20">
        <v>5</v>
      </c>
      <c r="D9" s="41">
        <v>5000</v>
      </c>
      <c r="E9" s="35">
        <f t="shared" si="0"/>
        <v>25000</v>
      </c>
      <c r="F9" s="20">
        <v>5</v>
      </c>
      <c r="G9" s="41">
        <v>4500</v>
      </c>
      <c r="H9" s="30">
        <f t="shared" si="1"/>
        <v>22500</v>
      </c>
      <c r="I9" s="13"/>
    </row>
    <row r="10" spans="1:9" ht="18.95" customHeight="1">
      <c r="A10" s="44" t="s">
        <v>11</v>
      </c>
      <c r="B10" s="45"/>
      <c r="C10" s="18">
        <v>55</v>
      </c>
      <c r="D10" s="39">
        <v>2500</v>
      </c>
      <c r="E10" s="33">
        <f t="shared" si="0"/>
        <v>137500</v>
      </c>
      <c r="F10" s="18">
        <v>1</v>
      </c>
      <c r="G10" s="39">
        <v>100000</v>
      </c>
      <c r="H10" s="28">
        <f t="shared" si="1"/>
        <v>100000</v>
      </c>
      <c r="I10" s="11"/>
    </row>
    <row r="11" spans="1:9" ht="18.95" customHeight="1">
      <c r="A11" s="44" t="s">
        <v>12</v>
      </c>
      <c r="B11" s="45"/>
      <c r="C11" s="18">
        <v>1</v>
      </c>
      <c r="D11" s="39">
        <v>8000</v>
      </c>
      <c r="E11" s="33">
        <f t="shared" si="0"/>
        <v>8000</v>
      </c>
      <c r="F11" s="18">
        <v>1</v>
      </c>
      <c r="G11" s="39">
        <v>8000</v>
      </c>
      <c r="H11" s="28">
        <f t="shared" si="1"/>
        <v>8000</v>
      </c>
      <c r="I11" s="11"/>
    </row>
    <row r="12" spans="1:9" ht="18.95" customHeight="1">
      <c r="A12" s="44" t="s">
        <v>13</v>
      </c>
      <c r="B12" s="45"/>
      <c r="C12" s="18">
        <v>2</v>
      </c>
      <c r="D12" s="39">
        <v>5000</v>
      </c>
      <c r="E12" s="33">
        <f t="shared" si="0"/>
        <v>10000</v>
      </c>
      <c r="F12" s="18">
        <v>2</v>
      </c>
      <c r="G12" s="39">
        <v>5000</v>
      </c>
      <c r="H12" s="28">
        <f t="shared" si="1"/>
        <v>10000</v>
      </c>
      <c r="I12" s="11"/>
    </row>
    <row r="13" spans="1:9" ht="18.95" customHeight="1">
      <c r="A13" s="44" t="s">
        <v>14</v>
      </c>
      <c r="B13" s="45"/>
      <c r="C13" s="18">
        <v>1</v>
      </c>
      <c r="D13" s="39">
        <v>50000</v>
      </c>
      <c r="E13" s="33">
        <f t="shared" si="0"/>
        <v>50000</v>
      </c>
      <c r="F13" s="18">
        <v>1</v>
      </c>
      <c r="G13" s="39">
        <v>50000</v>
      </c>
      <c r="H13" s="28">
        <f t="shared" si="1"/>
        <v>50000</v>
      </c>
      <c r="I13" s="11"/>
    </row>
    <row r="14" spans="1:9" ht="18.95" customHeight="1">
      <c r="A14" s="44" t="s">
        <v>15</v>
      </c>
      <c r="B14" s="5" t="s">
        <v>16</v>
      </c>
      <c r="C14" s="19">
        <v>1</v>
      </c>
      <c r="D14" s="40">
        <v>10000</v>
      </c>
      <c r="E14" s="34">
        <f t="shared" si="0"/>
        <v>10000</v>
      </c>
      <c r="F14" s="19">
        <v>1</v>
      </c>
      <c r="G14" s="40">
        <v>10000</v>
      </c>
      <c r="H14" s="29">
        <f t="shared" si="1"/>
        <v>10000</v>
      </c>
      <c r="I14" s="12"/>
    </row>
    <row r="15" spans="1:9" ht="18.95" customHeight="1">
      <c r="A15" s="44"/>
      <c r="B15" s="4" t="s">
        <v>17</v>
      </c>
      <c r="C15" s="20">
        <v>1</v>
      </c>
      <c r="D15" s="41">
        <v>30000</v>
      </c>
      <c r="E15" s="35">
        <f t="shared" si="0"/>
        <v>30000</v>
      </c>
      <c r="F15" s="20">
        <v>1</v>
      </c>
      <c r="G15" s="41">
        <v>30000</v>
      </c>
      <c r="H15" s="30">
        <f t="shared" si="1"/>
        <v>30000</v>
      </c>
      <c r="I15" s="13"/>
    </row>
    <row r="16" spans="1:9" ht="18.95" customHeight="1">
      <c r="A16" s="44" t="s">
        <v>18</v>
      </c>
      <c r="B16" s="3" t="s">
        <v>19</v>
      </c>
      <c r="C16" s="21">
        <v>1</v>
      </c>
      <c r="D16" s="42">
        <v>10000</v>
      </c>
      <c r="E16" s="36">
        <f t="shared" si="0"/>
        <v>10000</v>
      </c>
      <c r="F16" s="21">
        <v>1</v>
      </c>
      <c r="G16" s="42">
        <v>10000</v>
      </c>
      <c r="H16" s="31">
        <f t="shared" si="1"/>
        <v>10000</v>
      </c>
      <c r="I16" s="14"/>
    </row>
    <row r="17" spans="1:9" ht="18.95" customHeight="1">
      <c r="A17" s="44"/>
      <c r="B17" s="7" t="s">
        <v>20</v>
      </c>
      <c r="C17" s="22">
        <v>1</v>
      </c>
      <c r="D17" s="43">
        <v>70000</v>
      </c>
      <c r="E17" s="37">
        <f t="shared" si="0"/>
        <v>70000</v>
      </c>
      <c r="F17" s="22">
        <v>1</v>
      </c>
      <c r="G17" s="43">
        <v>50000</v>
      </c>
      <c r="H17" s="32">
        <f t="shared" si="1"/>
        <v>50000</v>
      </c>
      <c r="I17" s="15"/>
    </row>
    <row r="18" spans="1:9" ht="18.95" customHeight="1">
      <c r="A18" s="44"/>
      <c r="B18" s="7" t="s">
        <v>21</v>
      </c>
      <c r="C18" s="22">
        <v>7</v>
      </c>
      <c r="D18" s="43">
        <v>8000</v>
      </c>
      <c r="E18" s="37">
        <f t="shared" si="0"/>
        <v>56000</v>
      </c>
      <c r="F18" s="22">
        <v>7</v>
      </c>
      <c r="G18" s="43">
        <v>5000</v>
      </c>
      <c r="H18" s="32">
        <f t="shared" si="1"/>
        <v>35000</v>
      </c>
      <c r="I18" s="15"/>
    </row>
    <row r="19" spans="1:9" ht="18.95" customHeight="1">
      <c r="A19" s="44"/>
      <c r="B19" s="4" t="s">
        <v>22</v>
      </c>
      <c r="C19" s="20">
        <v>1</v>
      </c>
      <c r="D19" s="41">
        <v>20000</v>
      </c>
      <c r="E19" s="35">
        <f t="shared" si="0"/>
        <v>20000</v>
      </c>
      <c r="F19" s="20">
        <v>1</v>
      </c>
      <c r="G19" s="41">
        <v>15000</v>
      </c>
      <c r="H19" s="30">
        <f t="shared" si="1"/>
        <v>15000</v>
      </c>
      <c r="I19" s="13"/>
    </row>
    <row r="20" spans="1:9" ht="18.95" customHeight="1">
      <c r="A20" s="44" t="s">
        <v>23</v>
      </c>
      <c r="B20" s="5" t="s">
        <v>24</v>
      </c>
      <c r="C20" s="19">
        <v>2</v>
      </c>
      <c r="D20" s="40">
        <v>5000</v>
      </c>
      <c r="E20" s="34">
        <f t="shared" si="0"/>
        <v>10000</v>
      </c>
      <c r="F20" s="19">
        <v>2</v>
      </c>
      <c r="G20" s="40">
        <v>4000</v>
      </c>
      <c r="H20" s="29">
        <f t="shared" si="1"/>
        <v>8000</v>
      </c>
      <c r="I20" s="12"/>
    </row>
    <row r="21" spans="1:9" ht="18.95" customHeight="1">
      <c r="A21" s="44"/>
      <c r="B21" s="4" t="s">
        <v>25</v>
      </c>
      <c r="C21" s="20">
        <v>2</v>
      </c>
      <c r="D21" s="41">
        <v>3000</v>
      </c>
      <c r="E21" s="35">
        <f t="shared" si="0"/>
        <v>6000</v>
      </c>
      <c r="F21" s="20">
        <v>2</v>
      </c>
      <c r="G21" s="41">
        <v>3000</v>
      </c>
      <c r="H21" s="30">
        <f t="shared" si="1"/>
        <v>6000</v>
      </c>
      <c r="I21" s="13"/>
    </row>
    <row r="22" spans="1:9" ht="18.95" customHeight="1">
      <c r="A22" s="44" t="s">
        <v>26</v>
      </c>
      <c r="B22" s="45"/>
      <c r="C22" s="18">
        <v>1</v>
      </c>
      <c r="D22" s="39">
        <v>20000</v>
      </c>
      <c r="E22" s="33">
        <f t="shared" si="0"/>
        <v>20000</v>
      </c>
      <c r="F22" s="18">
        <v>1</v>
      </c>
      <c r="G22" s="39">
        <v>15000</v>
      </c>
      <c r="H22" s="28">
        <f t="shared" si="1"/>
        <v>15000</v>
      </c>
      <c r="I22" s="11"/>
    </row>
    <row r="23" spans="1:9" ht="18.95" customHeight="1">
      <c r="A23" s="44" t="s">
        <v>27</v>
      </c>
      <c r="B23" s="5" t="s">
        <v>28</v>
      </c>
      <c r="C23" s="19">
        <v>1</v>
      </c>
      <c r="D23" s="40">
        <v>80000</v>
      </c>
      <c r="E23" s="34">
        <f t="shared" si="0"/>
        <v>80000</v>
      </c>
      <c r="F23" s="19">
        <v>1</v>
      </c>
      <c r="G23" s="40">
        <v>50000</v>
      </c>
      <c r="H23" s="29">
        <f t="shared" si="1"/>
        <v>50000</v>
      </c>
      <c r="I23" s="12"/>
    </row>
    <row r="24" spans="1:9" ht="18.95" customHeight="1">
      <c r="A24" s="44"/>
      <c r="B24" s="4" t="s">
        <v>29</v>
      </c>
      <c r="C24" s="20">
        <v>1</v>
      </c>
      <c r="D24" s="41">
        <v>400000</v>
      </c>
      <c r="E24" s="35">
        <f t="shared" si="0"/>
        <v>400000</v>
      </c>
      <c r="F24" s="20">
        <v>1</v>
      </c>
      <c r="G24" s="41">
        <v>300000</v>
      </c>
      <c r="H24" s="30">
        <f t="shared" si="1"/>
        <v>300000</v>
      </c>
      <c r="I24" s="13"/>
    </row>
    <row r="25" spans="1:9" ht="18.95" customHeight="1">
      <c r="A25" s="44" t="s">
        <v>30</v>
      </c>
      <c r="B25" s="45"/>
      <c r="C25" s="18">
        <v>1</v>
      </c>
      <c r="D25" s="39">
        <v>30000</v>
      </c>
      <c r="E25" s="33">
        <f t="shared" si="0"/>
        <v>30000</v>
      </c>
      <c r="F25" s="18">
        <v>1</v>
      </c>
      <c r="G25" s="39">
        <v>30000</v>
      </c>
      <c r="H25" s="28">
        <f t="shared" si="1"/>
        <v>30000</v>
      </c>
      <c r="I25" s="11"/>
    </row>
    <row r="26" spans="1:9" ht="18.95" customHeight="1">
      <c r="A26" s="44" t="s">
        <v>31</v>
      </c>
      <c r="B26" s="45"/>
      <c r="C26" s="18">
        <v>1</v>
      </c>
      <c r="D26" s="39">
        <v>120000</v>
      </c>
      <c r="E26" s="33">
        <f t="shared" si="0"/>
        <v>120000</v>
      </c>
      <c r="F26" s="18"/>
      <c r="G26" s="39"/>
      <c r="H26" s="28">
        <f t="shared" si="1"/>
        <v>0</v>
      </c>
      <c r="I26" s="11"/>
    </row>
    <row r="27" spans="1:9" ht="18.95" customHeight="1">
      <c r="A27" s="44" t="s">
        <v>32</v>
      </c>
      <c r="B27" s="5" t="s">
        <v>33</v>
      </c>
      <c r="C27" s="19">
        <v>2</v>
      </c>
      <c r="D27" s="40">
        <v>50000</v>
      </c>
      <c r="E27" s="34">
        <f t="shared" si="0"/>
        <v>100000</v>
      </c>
      <c r="F27" s="19">
        <v>2</v>
      </c>
      <c r="G27" s="40">
        <v>60000</v>
      </c>
      <c r="H27" s="29">
        <f t="shared" si="1"/>
        <v>120000</v>
      </c>
      <c r="I27" s="12"/>
    </row>
    <row r="28" spans="1:9" ht="18.95" customHeight="1">
      <c r="A28" s="44"/>
      <c r="B28" s="4" t="s">
        <v>34</v>
      </c>
      <c r="C28" s="20">
        <v>1</v>
      </c>
      <c r="D28" s="41">
        <v>50000</v>
      </c>
      <c r="E28" s="35">
        <f t="shared" si="0"/>
        <v>50000</v>
      </c>
      <c r="F28" s="20"/>
      <c r="G28" s="41"/>
      <c r="H28" s="30">
        <f t="shared" si="1"/>
        <v>0</v>
      </c>
      <c r="I28" s="13"/>
    </row>
    <row r="29" spans="1:9" ht="18.95" customHeight="1">
      <c r="A29" s="44" t="s">
        <v>35</v>
      </c>
      <c r="B29" s="45"/>
      <c r="C29" s="18">
        <v>45</v>
      </c>
      <c r="D29" s="39">
        <v>8000</v>
      </c>
      <c r="E29" s="33">
        <f t="shared" si="0"/>
        <v>360000</v>
      </c>
      <c r="F29" s="18">
        <v>45</v>
      </c>
      <c r="G29" s="39">
        <v>5000</v>
      </c>
      <c r="H29" s="28">
        <f t="shared" si="1"/>
        <v>225000</v>
      </c>
      <c r="I29" s="11"/>
    </row>
    <row r="30" spans="1:9" ht="18.95" customHeight="1">
      <c r="A30" s="44" t="s">
        <v>36</v>
      </c>
      <c r="B30" s="3" t="s">
        <v>37</v>
      </c>
      <c r="C30" s="21">
        <v>8</v>
      </c>
      <c r="D30" s="42">
        <v>5000</v>
      </c>
      <c r="E30" s="36">
        <f t="shared" si="0"/>
        <v>40000</v>
      </c>
      <c r="F30" s="21">
        <v>5</v>
      </c>
      <c r="G30" s="42">
        <v>5000</v>
      </c>
      <c r="H30" s="31">
        <f t="shared" si="1"/>
        <v>25000</v>
      </c>
      <c r="I30" s="14"/>
    </row>
    <row r="31" spans="1:9" ht="18.95" customHeight="1">
      <c r="A31" s="44"/>
      <c r="B31" s="7" t="s">
        <v>38</v>
      </c>
      <c r="C31" s="22">
        <v>1</v>
      </c>
      <c r="D31" s="43">
        <v>5000</v>
      </c>
      <c r="E31" s="37">
        <f t="shared" si="0"/>
        <v>5000</v>
      </c>
      <c r="F31" s="22">
        <v>1</v>
      </c>
      <c r="G31" s="43">
        <v>5000</v>
      </c>
      <c r="H31" s="32">
        <f t="shared" si="1"/>
        <v>5000</v>
      </c>
      <c r="I31" s="15"/>
    </row>
    <row r="32" spans="1:9" ht="18.95" customHeight="1">
      <c r="A32" s="44"/>
      <c r="B32" s="7" t="s">
        <v>39</v>
      </c>
      <c r="C32" s="22">
        <v>1</v>
      </c>
      <c r="D32" s="43">
        <v>5000</v>
      </c>
      <c r="E32" s="37">
        <f t="shared" si="0"/>
        <v>5000</v>
      </c>
      <c r="F32" s="22">
        <v>1</v>
      </c>
      <c r="G32" s="43">
        <v>3000</v>
      </c>
      <c r="H32" s="32">
        <f t="shared" si="1"/>
        <v>3000</v>
      </c>
      <c r="I32" s="15"/>
    </row>
    <row r="33" spans="1:9" ht="18.95" customHeight="1">
      <c r="A33" s="44"/>
      <c r="B33" s="7" t="s">
        <v>40</v>
      </c>
      <c r="C33" s="22">
        <v>1</v>
      </c>
      <c r="D33" s="43">
        <v>10000</v>
      </c>
      <c r="E33" s="37">
        <f t="shared" si="0"/>
        <v>10000</v>
      </c>
      <c r="F33" s="22">
        <v>1</v>
      </c>
      <c r="G33" s="43">
        <v>10000</v>
      </c>
      <c r="H33" s="32">
        <f t="shared" si="1"/>
        <v>10000</v>
      </c>
      <c r="I33" s="15"/>
    </row>
    <row r="34" spans="1:9" ht="18.95" customHeight="1">
      <c r="A34" s="44"/>
      <c r="B34" s="7" t="s">
        <v>41</v>
      </c>
      <c r="C34" s="22">
        <v>3</v>
      </c>
      <c r="D34" s="43">
        <v>5000</v>
      </c>
      <c r="E34" s="37">
        <f t="shared" si="0"/>
        <v>15000</v>
      </c>
      <c r="F34" s="22">
        <v>2</v>
      </c>
      <c r="G34" s="43">
        <v>5000</v>
      </c>
      <c r="H34" s="32">
        <f t="shared" si="1"/>
        <v>10000</v>
      </c>
      <c r="I34" s="15"/>
    </row>
    <row r="35" spans="1:9" ht="18.95" customHeight="1">
      <c r="A35" s="44"/>
      <c r="B35" s="4" t="s">
        <v>42</v>
      </c>
      <c r="C35" s="20">
        <v>1</v>
      </c>
      <c r="D35" s="41">
        <v>200000</v>
      </c>
      <c r="E35" s="35">
        <f t="shared" si="0"/>
        <v>200000</v>
      </c>
      <c r="F35" s="20">
        <v>1</v>
      </c>
      <c r="G35" s="41">
        <v>100000</v>
      </c>
      <c r="H35" s="30">
        <f t="shared" si="1"/>
        <v>100000</v>
      </c>
      <c r="I35" s="13"/>
    </row>
    <row r="36" spans="1:9" ht="18.95" customHeight="1">
      <c r="A36" s="44" t="s">
        <v>43</v>
      </c>
      <c r="B36" s="3" t="s">
        <v>44</v>
      </c>
      <c r="C36" s="21">
        <v>45</v>
      </c>
      <c r="D36" s="42">
        <v>500</v>
      </c>
      <c r="E36" s="36">
        <f t="shared" si="0"/>
        <v>22500</v>
      </c>
      <c r="F36" s="21"/>
      <c r="G36" s="26"/>
      <c r="H36" s="31">
        <f t="shared" si="1"/>
        <v>0</v>
      </c>
      <c r="I36" s="14"/>
    </row>
    <row r="37" spans="1:9" ht="18.95" customHeight="1">
      <c r="A37" s="44"/>
      <c r="B37" s="7"/>
      <c r="C37" s="22"/>
      <c r="D37" s="27"/>
      <c r="E37" s="37">
        <f t="shared" si="0"/>
        <v>0</v>
      </c>
      <c r="F37" s="22"/>
      <c r="G37" s="27"/>
      <c r="H37" s="32">
        <f t="shared" si="1"/>
        <v>0</v>
      </c>
      <c r="I37" s="15"/>
    </row>
    <row r="38" spans="1:9" ht="18.95" customHeight="1">
      <c r="A38" s="44"/>
      <c r="B38" s="4"/>
      <c r="C38" s="20"/>
      <c r="D38" s="25"/>
      <c r="E38" s="35">
        <f t="shared" si="0"/>
        <v>0</v>
      </c>
      <c r="F38" s="20"/>
      <c r="G38" s="25"/>
      <c r="H38" s="30">
        <f t="shared" si="1"/>
        <v>0</v>
      </c>
      <c r="I38" s="13"/>
    </row>
    <row r="39" spans="1:9" ht="18.95" customHeight="1">
      <c r="A39" s="46" t="s">
        <v>45</v>
      </c>
      <c r="B39" s="47"/>
      <c r="C39" s="56">
        <f>SUM(E6:E38)</f>
        <v>2750000</v>
      </c>
      <c r="D39" s="57"/>
      <c r="E39" s="58"/>
      <c r="F39" s="62">
        <f>SUM(H6:H38)</f>
        <v>2267500</v>
      </c>
      <c r="G39" s="63"/>
      <c r="H39" s="64"/>
      <c r="I39" s="11"/>
    </row>
    <row r="40" spans="1:9" ht="18.95" customHeight="1" thickBot="1">
      <c r="A40" s="48" t="s">
        <v>46</v>
      </c>
      <c r="B40" s="49"/>
      <c r="C40" s="59">
        <f>G2-C39</f>
        <v>-250000</v>
      </c>
      <c r="D40" s="60"/>
      <c r="E40" s="61"/>
      <c r="F40" s="65">
        <f>G2-F39</f>
        <v>232500</v>
      </c>
      <c r="G40" s="66"/>
      <c r="H40" s="67"/>
      <c r="I40" s="16"/>
    </row>
    <row r="41" spans="1:9" ht="15.75" thickTop="1">
      <c r="A41" s="2"/>
      <c r="B41" s="2"/>
      <c r="C41" s="2"/>
      <c r="D41" s="2"/>
      <c r="E41" s="2"/>
      <c r="F41" s="2"/>
      <c r="G41" s="2"/>
      <c r="H41" s="2"/>
      <c r="I41" s="2"/>
    </row>
  </sheetData>
  <mergeCells count="31">
    <mergeCell ref="A39:B39"/>
    <mergeCell ref="C39:E39"/>
    <mergeCell ref="F39:H39"/>
    <mergeCell ref="A40:B40"/>
    <mergeCell ref="C40:E40"/>
    <mergeCell ref="F40:H40"/>
    <mergeCell ref="A36:A38"/>
    <mergeCell ref="A13:B13"/>
    <mergeCell ref="A14:A15"/>
    <mergeCell ref="A16:A19"/>
    <mergeCell ref="A20:A21"/>
    <mergeCell ref="A22:B22"/>
    <mergeCell ref="A23:A24"/>
    <mergeCell ref="A25:B25"/>
    <mergeCell ref="A26:B26"/>
    <mergeCell ref="A27:A28"/>
    <mergeCell ref="A29:B29"/>
    <mergeCell ref="A30:A35"/>
    <mergeCell ref="A12:B12"/>
    <mergeCell ref="G2:I2"/>
    <mergeCell ref="A4:B5"/>
    <mergeCell ref="C4:C5"/>
    <mergeCell ref="D4:E4"/>
    <mergeCell ref="F4:F5"/>
    <mergeCell ref="G4:H4"/>
    <mergeCell ref="I4:I5"/>
    <mergeCell ref="A6:B6"/>
    <mergeCell ref="A7:B7"/>
    <mergeCell ref="A8:A9"/>
    <mergeCell ref="A10:B10"/>
    <mergeCell ref="A11:B11"/>
  </mergeCells>
  <phoneticPr fontId="3"/>
  <pageMargins left="0.25" right="0.25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irectSourceMarket xmlns="1119c2e5-8fb9-4d5f-baf1-202c530f2c34">english</DirectSourceMarket>
    <ApprovalStatus xmlns="1119c2e5-8fb9-4d5f-baf1-202c530f2c34">InProgress</ApprovalStatus>
    <MarketSpecific xmlns="1119c2e5-8fb9-4d5f-baf1-202c530f2c34" xsi:nil="true"/>
    <PrimaryImageGen xmlns="1119c2e5-8fb9-4d5f-baf1-202c530f2c34">true</PrimaryImageGen>
    <ThumbnailAssetId xmlns="1119c2e5-8fb9-4d5f-baf1-202c530f2c34" xsi:nil="true"/>
    <TPFriendlyName xmlns="1119c2e5-8fb9-4d5f-baf1-202c530f2c34">結婚式予算管理</TPFriendlyName>
    <NumericId xmlns="1119c2e5-8fb9-4d5f-baf1-202c530f2c34">-1</NumericId>
    <BusinessGroup xmlns="1119c2e5-8fb9-4d5f-baf1-202c530f2c34" xsi:nil="true"/>
    <SourceTitle xmlns="1119c2e5-8fb9-4d5f-baf1-202c530f2c34">結婚式予算管理</SourceTitle>
    <APEditor xmlns="1119c2e5-8fb9-4d5f-baf1-202c530f2c34">
      <UserInfo>
        <DisplayName>FAREAST\kaorisat</DisplayName>
        <AccountId>71</AccountId>
        <AccountType/>
      </UserInfo>
    </APEditor>
    <OpenTemplate xmlns="1119c2e5-8fb9-4d5f-baf1-202c530f2c34">true</OpenTemplate>
    <UALocComments xmlns="1119c2e5-8fb9-4d5f-baf1-202c530f2c34" xsi:nil="true"/>
    <ParentAssetId xmlns="1119c2e5-8fb9-4d5f-baf1-202c530f2c34" xsi:nil="true"/>
    <IntlLangReviewDate xmlns="1119c2e5-8fb9-4d5f-baf1-202c530f2c34" xsi:nil="true"/>
    <LastPublishResultLookup xmlns="1119c2e5-8fb9-4d5f-baf1-202c530f2c34" xsi:nil="true"/>
    <PublishStatusLookup xmlns="1119c2e5-8fb9-4d5f-baf1-202c530f2c34">
      <Value>209538</Value>
      <Value>447788</Value>
    </PublishStatusLookup>
    <MachineTranslated xmlns="1119c2e5-8fb9-4d5f-baf1-202c530f2c34">false</MachineTranslated>
    <OriginalSourceMarket xmlns="1119c2e5-8fb9-4d5f-baf1-202c530f2c34">english</OriginalSourceMarket>
    <TPInstallLocation xmlns="1119c2e5-8fb9-4d5f-baf1-202c530f2c34">{My Templates}</TPInstallLocation>
    <APDescription xmlns="1119c2e5-8fb9-4d5f-baf1-202c530f2c34" xsi:nil="true"/>
    <ClipArtFilename xmlns="1119c2e5-8fb9-4d5f-baf1-202c530f2c34" xsi:nil="true"/>
    <ContentItem xmlns="1119c2e5-8fb9-4d5f-baf1-202c530f2c34" xsi:nil="true"/>
    <PublishTargets xmlns="1119c2e5-8fb9-4d5f-baf1-202c530f2c34">OfficeOnline</PublishTargets>
    <TimesCloned xmlns="1119c2e5-8fb9-4d5f-baf1-202c530f2c34" xsi:nil="true"/>
    <Provider xmlns="1119c2e5-8fb9-4d5f-baf1-202c530f2c34">EY006220130</Provider>
    <LastHandOff xmlns="1119c2e5-8fb9-4d5f-baf1-202c530f2c34" xsi:nil="true"/>
    <AssetStart xmlns="1119c2e5-8fb9-4d5f-baf1-202c530f2c34">2009-10-22T01:20:44+00:00</AssetStart>
    <AcquiredFrom xmlns="1119c2e5-8fb9-4d5f-baf1-202c530f2c34" xsi:nil="true"/>
    <TPClientViewer xmlns="1119c2e5-8fb9-4d5f-baf1-202c530f2c34">Microsoft Office Excel</TPClientViewer>
    <IsDeleted xmlns="1119c2e5-8fb9-4d5f-baf1-202c530f2c34">false</IsDeleted>
    <TemplateStatus xmlns="1119c2e5-8fb9-4d5f-baf1-202c530f2c34" xsi:nil="true"/>
    <SubmitterId xmlns="1119c2e5-8fb9-4d5f-baf1-202c530f2c34" xsi:nil="true"/>
    <TPExecutable xmlns="1119c2e5-8fb9-4d5f-baf1-202c530f2c34" xsi:nil="true"/>
    <AssetType xmlns="1119c2e5-8fb9-4d5f-baf1-202c530f2c34">TP</AssetType>
    <CSXUpdate xmlns="1119c2e5-8fb9-4d5f-baf1-202c530f2c34">false</CSXUpdate>
    <ApprovalLog xmlns="1119c2e5-8fb9-4d5f-baf1-202c530f2c34" xsi:nil="true"/>
    <CSXSubmissionDate xmlns="1119c2e5-8fb9-4d5f-baf1-202c530f2c34" xsi:nil="true"/>
    <BugNumber xmlns="1119c2e5-8fb9-4d5f-baf1-202c530f2c34" xsi:nil="true"/>
    <TPComponent xmlns="1119c2e5-8fb9-4d5f-baf1-202c530f2c34">EXCELFiles</TPComponent>
    <Milestone xmlns="1119c2e5-8fb9-4d5f-baf1-202c530f2c34" xsi:nil="true"/>
    <OriginAsset xmlns="1119c2e5-8fb9-4d5f-baf1-202c530f2c34" xsi:nil="true"/>
    <AssetId xmlns="1119c2e5-8fb9-4d5f-baf1-202c530f2c34">TP010264370</AssetId>
    <TPLaunchHelpLink xmlns="1119c2e5-8fb9-4d5f-baf1-202c530f2c34" xsi:nil="true"/>
    <TPApplication xmlns="1119c2e5-8fb9-4d5f-baf1-202c530f2c34">Excel</TPApplication>
    <IntlLocPriority xmlns="1119c2e5-8fb9-4d5f-baf1-202c530f2c34" xsi:nil="true"/>
    <IntlLangReviewer xmlns="1119c2e5-8fb9-4d5f-baf1-202c530f2c34" xsi:nil="true"/>
    <HandoffToMSDN xmlns="1119c2e5-8fb9-4d5f-baf1-202c530f2c34" xsi:nil="true"/>
    <PlannedPubDate xmlns="1119c2e5-8fb9-4d5f-baf1-202c530f2c34" xsi:nil="true"/>
    <CrawlForDependencies xmlns="1119c2e5-8fb9-4d5f-baf1-202c530f2c34">false</CrawlForDependencies>
    <TrustLevel xmlns="1119c2e5-8fb9-4d5f-baf1-202c530f2c34">1 Microsoft Managed Content</TrustLevel>
    <IsSearchable xmlns="1119c2e5-8fb9-4d5f-baf1-202c530f2c34">false</IsSearchable>
    <TPNamespace xmlns="1119c2e5-8fb9-4d5f-baf1-202c530f2c34">EXCEL</TPNamespace>
    <Markets xmlns="1119c2e5-8fb9-4d5f-baf1-202c530f2c34"/>
    <IntlLangReview xmlns="1119c2e5-8fb9-4d5f-baf1-202c530f2c34" xsi:nil="true"/>
    <AverageRating xmlns="1119c2e5-8fb9-4d5f-baf1-202c530f2c34" xsi:nil="true"/>
    <UAProjectedTotalWords xmlns="1119c2e5-8fb9-4d5f-baf1-202c530f2c34" xsi:nil="true"/>
    <OutputCachingOn xmlns="1119c2e5-8fb9-4d5f-baf1-202c530f2c34">false</OutputCachingOn>
    <TPCommandLine xmlns="1119c2e5-8fb9-4d5f-baf1-202c530f2c34">{XL} /t {FilePath}</TPCommandLine>
    <TPAppVersion xmlns="1119c2e5-8fb9-4d5f-baf1-202c530f2c34">12</TPAppVersion>
    <APAuthor xmlns="1119c2e5-8fb9-4d5f-baf1-202c530f2c34">
      <UserInfo>
        <DisplayName/>
        <AccountId>-1</AccountId>
        <AccountType/>
      </UserInfo>
    </APAuthor>
    <EditorialStatus xmlns="1119c2e5-8fb9-4d5f-baf1-202c530f2c34" xsi:nil="true"/>
    <TPLaunchHelpLinkType xmlns="1119c2e5-8fb9-4d5f-baf1-202c530f2c34">Template</TPLaunchHelpLinkType>
    <LastModifiedDateTime xmlns="1119c2e5-8fb9-4d5f-baf1-202c530f2c34" xsi:nil="true"/>
    <UACurrentWords xmlns="1119c2e5-8fb9-4d5f-baf1-202c530f2c34">0</UACurrentWords>
    <UALocRecommendation xmlns="1119c2e5-8fb9-4d5f-baf1-202c530f2c34">Localize</UALocRecommendation>
    <ArtSampleDocs xmlns="1119c2e5-8fb9-4d5f-baf1-202c530f2c34" xsi:nil="true"/>
    <UANotes xmlns="1119c2e5-8fb9-4d5f-baf1-202c530f2c34" xsi:nil="true"/>
    <ShowIn xmlns="1119c2e5-8fb9-4d5f-baf1-202c530f2c34">On Web no search</ShowIn>
    <CSXHash xmlns="1119c2e5-8fb9-4d5f-baf1-202c530f2c34" xsi:nil="true"/>
    <VoteCount xmlns="1119c2e5-8fb9-4d5f-baf1-202c530f2c34" xsi:nil="true"/>
    <DSATActionTaken xmlns="1119c2e5-8fb9-4d5f-baf1-202c530f2c34" xsi:nil="true"/>
    <AssetExpire xmlns="1119c2e5-8fb9-4d5f-baf1-202c530f2c34">2100-01-01T00:00:00+00:00</AssetExpire>
    <CSXSubmissionMarket xmlns="1119c2e5-8fb9-4d5f-baf1-202c530f2c34" xsi:nil="true"/>
    <Manager xmlns="1119c2e5-8fb9-4d5f-baf1-202c530f2c34" xsi:nil="true"/>
    <OOCacheId xmlns="1119c2e5-8fb9-4d5f-baf1-202c530f2c34" xsi:nil="true"/>
    <EditorialTags xmlns="1119c2e5-8fb9-4d5f-baf1-202c530f2c34" xsi:nil="true"/>
    <LegacyData xmlns="1119c2e5-8fb9-4d5f-baf1-202c530f2c34" xsi:nil="true"/>
    <Providers xmlns="1119c2e5-8fb9-4d5f-baf1-202c530f2c34" xsi:nil="true"/>
    <TemplateTemplateType xmlns="1119c2e5-8fb9-4d5f-baf1-202c530f2c34">Excel 2007 Default</TemplateTemplateType>
    <PolicheckWords xmlns="1119c2e5-8fb9-4d5f-baf1-202c530f2c34" xsi:nil="true"/>
    <FriendlyTitle xmlns="1119c2e5-8fb9-4d5f-baf1-202c530f2c34" xsi:nil="true"/>
    <Downloads xmlns="1119c2e5-8fb9-4d5f-baf1-202c530f2c34">0</Downloads>
    <LocPublishedDependentAssetsLookup xmlns="1119c2e5-8fb9-4d5f-baf1-202c530f2c34" xsi:nil="true"/>
    <FeatureTagsTaxHTField0 xmlns="1119c2e5-8fb9-4d5f-baf1-202c530f2c34">
      <Terms xmlns="http://schemas.microsoft.com/office/infopath/2007/PartnerControls"/>
    </FeatureTagsTaxHTField0>
    <TaxCatchAll xmlns="1119c2e5-8fb9-4d5f-baf1-202c530f2c34"/>
    <LocComments xmlns="1119c2e5-8fb9-4d5f-baf1-202c530f2c34" xsi:nil="true"/>
    <LocProcessedForMarketsLookup xmlns="1119c2e5-8fb9-4d5f-baf1-202c530f2c34" xsi:nil="true"/>
    <RecommendationsModifier xmlns="1119c2e5-8fb9-4d5f-baf1-202c530f2c34" xsi:nil="true"/>
    <LocOverallHandbackStatusLookup xmlns="1119c2e5-8fb9-4d5f-baf1-202c530f2c34" xsi:nil="true"/>
    <LocNewPublishedVersionLookup xmlns="1119c2e5-8fb9-4d5f-baf1-202c530f2c34" xsi:nil="true"/>
    <BlockPublish xmlns="1119c2e5-8fb9-4d5f-baf1-202c530f2c34" xsi:nil="true"/>
    <ScenarioTagsTaxHTField0 xmlns="1119c2e5-8fb9-4d5f-baf1-202c530f2c34">
      <Terms xmlns="http://schemas.microsoft.com/office/infopath/2007/PartnerControls"/>
    </ScenarioTagsTaxHTField0>
    <LocOverallLocStatusLookup xmlns="1119c2e5-8fb9-4d5f-baf1-202c530f2c34" xsi:nil="true"/>
    <LocOverallPreviewStatusLookup xmlns="1119c2e5-8fb9-4d5f-baf1-202c530f2c34" xsi:nil="true"/>
    <LocManualTestRequired xmlns="1119c2e5-8fb9-4d5f-baf1-202c530f2c34" xsi:nil="true"/>
    <LocOverallPublishStatusLookup xmlns="1119c2e5-8fb9-4d5f-baf1-202c530f2c34" xsi:nil="true"/>
    <LocPublishedLinkedAssetsLookup xmlns="1119c2e5-8fb9-4d5f-baf1-202c530f2c34" xsi:nil="true"/>
    <InternalTagsTaxHTField0 xmlns="1119c2e5-8fb9-4d5f-baf1-202c530f2c34">
      <Terms xmlns="http://schemas.microsoft.com/office/infopath/2007/PartnerControls"/>
    </InternalTagsTaxHTField0>
    <LocProcessedForHandoffsLookup xmlns="1119c2e5-8fb9-4d5f-baf1-202c530f2c34" xsi:nil="true"/>
    <LocalizationTagsTaxHTField0 xmlns="1119c2e5-8fb9-4d5f-baf1-202c530f2c34">
      <Terms xmlns="http://schemas.microsoft.com/office/infopath/2007/PartnerControls"/>
    </LocalizationTagsTaxHTField0>
    <CampaignTagsTaxHTField0 xmlns="1119c2e5-8fb9-4d5f-baf1-202c530f2c34">
      <Terms xmlns="http://schemas.microsoft.com/office/infopath/2007/PartnerControls"/>
    </CampaignTagsTaxHTField0>
    <LocLastLocAttemptVersionLookup xmlns="1119c2e5-8fb9-4d5f-baf1-202c530f2c34">46181</LocLastLocAttemptVersionLookup>
    <LocLastLocAttemptVersionTypeLookup xmlns="1119c2e5-8fb9-4d5f-baf1-202c530f2c34" xsi:nil="true"/>
    <LocRecommendedHandoff xmlns="1119c2e5-8fb9-4d5f-baf1-202c530f2c34" xsi:nil="true"/>
    <OriginalRelease xmlns="1119c2e5-8fb9-4d5f-baf1-202c530f2c34">14</OriginalRelease>
    <LocMarketGroupTiers2 xmlns="1119c2e5-8fb9-4d5f-baf1-202c530f2c3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F6E1CA76AAD4564AAF106FC3CFA868360400186944AA932D8046A3B88E9B37BEBDF5" ma:contentTypeVersion="57" ma:contentTypeDescription="Create a new document." ma:contentTypeScope="" ma:versionID="99516f8994b63f46a279aa564b61ee37">
  <xsd:schema xmlns:xsd="http://www.w3.org/2001/XMLSchema" xmlns:xs="http://www.w3.org/2001/XMLSchema" xmlns:p="http://schemas.microsoft.com/office/2006/metadata/properties" xmlns:ns2="1119c2e5-8fb9-4d5f-baf1-202c530f2c34" targetNamespace="http://schemas.microsoft.com/office/2006/metadata/properties" ma:root="true" ma:fieldsID="4ccc0999b57010467b6aff3ba0e15941" ns2:_="">
    <xsd:import namespace="1119c2e5-8fb9-4d5f-baf1-202c530f2c34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19c2e5-8fb9-4d5f-baf1-202c530f2c34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04032b9e-8ee6-4e89-b9db-4ffff205d025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388FC2BA-F530-4FF7-911A-621CAE6AFBD3}" ma:internalName="CSXSubmissionMarket" ma:readOnly="false" ma:showField="MarketName" ma:web="1119c2e5-8fb9-4d5f-baf1-202c530f2c34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5dcf7547-996b-4a0e-b7d1-0f761d14131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4D83B164-8C00-474C-8363-38E0B8FF22E3}" ma:internalName="InProjectListLookup" ma:readOnly="true" ma:showField="InProjectList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e5aec8e1-0842-4156-acaa-2defcf90540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4D83B164-8C00-474C-8363-38E0B8FF22E3}" ma:internalName="LastCompleteVersionLookup" ma:readOnly="true" ma:showField="LastCompleteVersion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4D83B164-8C00-474C-8363-38E0B8FF22E3}" ma:internalName="LastPreviewErrorLookup" ma:readOnly="true" ma:showField="LastPreviewError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4D83B164-8C00-474C-8363-38E0B8FF22E3}" ma:internalName="LastPreviewResultLookup" ma:readOnly="true" ma:showField="LastPreviewResult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4D83B164-8C00-474C-8363-38E0B8FF22E3}" ma:internalName="LastPreviewAttemptDateLookup" ma:readOnly="true" ma:showField="LastPreviewAttemptDate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4D83B164-8C00-474C-8363-38E0B8FF22E3}" ma:internalName="LastPreviewedByLookup" ma:readOnly="true" ma:showField="LastPreviewedBy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4D83B164-8C00-474C-8363-38E0B8FF22E3}" ma:internalName="LastPreviewTimeLookup" ma:readOnly="true" ma:showField="LastPreviewTime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4D83B164-8C00-474C-8363-38E0B8FF22E3}" ma:internalName="LastPreviewVersionLookup" ma:readOnly="true" ma:showField="LastPreviewVersion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4D83B164-8C00-474C-8363-38E0B8FF22E3}" ma:internalName="LastPublishErrorLookup" ma:readOnly="true" ma:showField="LastPublishError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4D83B164-8C00-474C-8363-38E0B8FF22E3}" ma:internalName="LastPublishResultLookup" ma:readOnly="true" ma:showField="LastPublishResult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4D83B164-8C00-474C-8363-38E0B8FF22E3}" ma:internalName="LastPublishAttemptDateLookup" ma:readOnly="true" ma:showField="LastPublishAttemptDate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4D83B164-8C00-474C-8363-38E0B8FF22E3}" ma:internalName="LastPublishedByLookup" ma:readOnly="true" ma:showField="LastPublishedBy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4D83B164-8C00-474C-8363-38E0B8FF22E3}" ma:internalName="LastPublishTimeLookup" ma:readOnly="true" ma:showField="LastPublishTime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4D83B164-8C00-474C-8363-38E0B8FF22E3}" ma:internalName="LastPublishVersionLookup" ma:readOnly="true" ma:showField="LastPublishVersion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BC39992D-5589-4A4E-8B38-02E0637E5C25}" ma:internalName="LocLastLocAttemptVersionLookup" ma:readOnly="false" ma:showField="LastLocAttemptVersion" ma:web="1119c2e5-8fb9-4d5f-baf1-202c530f2c34">
      <xsd:simpleType>
        <xsd:restriction base="dms:Lookup"/>
      </xsd:simpleType>
    </xsd:element>
    <xsd:element name="LocLastLocAttemptVersionTypeLookup" ma:index="72" nillable="true" ma:displayName="Loc Last Loc Attempt Version Type" ma:default="" ma:list="{BC39992D-5589-4A4E-8B38-02E0637E5C25}" ma:internalName="LocLastLocAttemptVersionTypeLookup" ma:readOnly="true" ma:showField="LastLocAttemptVersionType" ma:web="1119c2e5-8fb9-4d5f-baf1-202c530f2c34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BC39992D-5589-4A4E-8B38-02E0637E5C25}" ma:internalName="LocNewPublishedVersionLookup" ma:readOnly="true" ma:showField="NewPublishedVersion" ma:web="1119c2e5-8fb9-4d5f-baf1-202c530f2c34">
      <xsd:simpleType>
        <xsd:restriction base="dms:Lookup"/>
      </xsd:simpleType>
    </xsd:element>
    <xsd:element name="LocOverallHandbackStatusLookup" ma:index="76" nillable="true" ma:displayName="Loc Overall Handback Status" ma:default="" ma:list="{BC39992D-5589-4A4E-8B38-02E0637E5C25}" ma:internalName="LocOverallHandbackStatusLookup" ma:readOnly="true" ma:showField="OverallHandbackStatus" ma:web="1119c2e5-8fb9-4d5f-baf1-202c530f2c34">
      <xsd:simpleType>
        <xsd:restriction base="dms:Lookup"/>
      </xsd:simpleType>
    </xsd:element>
    <xsd:element name="LocOverallLocStatusLookup" ma:index="77" nillable="true" ma:displayName="Loc Overall Localize Status" ma:default="" ma:list="{BC39992D-5589-4A4E-8B38-02E0637E5C25}" ma:internalName="LocOverallLocStatusLookup" ma:readOnly="true" ma:showField="OverallLocStatus" ma:web="1119c2e5-8fb9-4d5f-baf1-202c530f2c34">
      <xsd:simpleType>
        <xsd:restriction base="dms:Lookup"/>
      </xsd:simpleType>
    </xsd:element>
    <xsd:element name="LocOverallPreviewStatusLookup" ma:index="78" nillable="true" ma:displayName="Loc Overall Preview Status" ma:default="" ma:list="{BC39992D-5589-4A4E-8B38-02E0637E5C25}" ma:internalName="LocOverallPreviewStatusLookup" ma:readOnly="true" ma:showField="OverallPreviewStatus" ma:web="1119c2e5-8fb9-4d5f-baf1-202c530f2c34">
      <xsd:simpleType>
        <xsd:restriction base="dms:Lookup"/>
      </xsd:simpleType>
    </xsd:element>
    <xsd:element name="LocOverallPublishStatusLookup" ma:index="79" nillable="true" ma:displayName="Loc Overall Publish Status" ma:default="" ma:list="{BC39992D-5589-4A4E-8B38-02E0637E5C25}" ma:internalName="LocOverallPublishStatusLookup" ma:readOnly="true" ma:showField="OverallPublishStatus" ma:web="1119c2e5-8fb9-4d5f-baf1-202c530f2c34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BC39992D-5589-4A4E-8B38-02E0637E5C25}" ma:internalName="LocProcessedForHandoffsLookup" ma:readOnly="true" ma:showField="ProcessedForHandoffs" ma:web="1119c2e5-8fb9-4d5f-baf1-202c530f2c34">
      <xsd:simpleType>
        <xsd:restriction base="dms:Lookup"/>
      </xsd:simpleType>
    </xsd:element>
    <xsd:element name="LocProcessedForMarketsLookup" ma:index="82" nillable="true" ma:displayName="Loc Processed For Markets" ma:default="" ma:list="{BC39992D-5589-4A4E-8B38-02E0637E5C25}" ma:internalName="LocProcessedForMarketsLookup" ma:readOnly="true" ma:showField="ProcessedForMarkets" ma:web="1119c2e5-8fb9-4d5f-baf1-202c530f2c34">
      <xsd:simpleType>
        <xsd:restriction base="dms:Lookup"/>
      </xsd:simpleType>
    </xsd:element>
    <xsd:element name="LocPublishedDependentAssetsLookup" ma:index="83" nillable="true" ma:displayName="Loc Published Dependent Assets" ma:default="" ma:list="{BC39992D-5589-4A4E-8B38-02E0637E5C25}" ma:internalName="LocPublishedDependentAssetsLookup" ma:readOnly="true" ma:showField="PublishedDependentAssets" ma:web="1119c2e5-8fb9-4d5f-baf1-202c530f2c34">
      <xsd:simpleType>
        <xsd:restriction base="dms:Lookup"/>
      </xsd:simpleType>
    </xsd:element>
    <xsd:element name="LocPublishedLinkedAssetsLookup" ma:index="84" nillable="true" ma:displayName="Loc Published Linked Assets" ma:default="" ma:list="{BC39992D-5589-4A4E-8B38-02E0637E5C25}" ma:internalName="LocPublishedLinkedAssetsLookup" ma:readOnly="true" ma:showField="PublishedLinkedAssets" ma:web="1119c2e5-8fb9-4d5f-baf1-202c530f2c34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28ca5b26-415b-4822-b35b-d9a845b1b83b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388FC2BA-F530-4FF7-911A-621CAE6AFBD3}" ma:internalName="Markets" ma:readOnly="false" ma:showField="MarketName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4D83B164-8C00-474C-8363-38E0B8FF22E3}" ma:internalName="NumOfRatingsLookup" ma:readOnly="true" ma:showField="NumOfRatings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4D83B164-8C00-474C-8363-38E0B8FF22E3}" ma:internalName="PublishStatusLookup" ma:readOnly="false" ma:showField="PublishStatus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1c8e7b99-44ca-46c8-84b8-12cd8d7cf8ee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c59171da-55f1-4c8b-8421-0d1d3f99d741}" ma:internalName="TaxCatchAll" ma:showField="CatchAllData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c59171da-55f1-4c8b-8421-0d1d3f99d741}" ma:internalName="TaxCatchAllLabel" ma:readOnly="true" ma:showField="CatchAllDataLabel" ma:web="1119c2e5-8fb9-4d5f-baf1-202c530f2c3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EE621-7E69-46A1-ACC5-EA4EE95B7F23}"/>
</file>

<file path=customXml/itemProps2.xml><?xml version="1.0" encoding="utf-8"?>
<ds:datastoreItem xmlns:ds="http://schemas.openxmlformats.org/officeDocument/2006/customXml" ds:itemID="{6CF49729-AC48-49FE-A30B-37A7B2EC9EC8}"/>
</file>

<file path=customXml/itemProps3.xml><?xml version="1.0" encoding="utf-8"?>
<ds:datastoreItem xmlns:ds="http://schemas.openxmlformats.org/officeDocument/2006/customXml" ds:itemID="{3FC772FE-6DEB-4398-A6CC-9ED4B0BB9A4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予算管理表</vt:lpstr>
      <vt:lpstr>使い方</vt:lpstr>
      <vt:lpstr>予算管理表!Print_Area</vt:lpstr>
      <vt:lpstr>使い方!Print_Area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結婚式予算管理</dc:title>
  <dc:creator/>
  <cp:lastModifiedBy/>
  <dcterms:created xsi:type="dcterms:W3CDTF">2008-03-04T05:08:38Z</dcterms:created>
  <dcterms:modified xsi:type="dcterms:W3CDTF">2012-05-25T08:33:49Z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0x010100F6E1CA76AAD4564AAF106FC3CFA868360400186944AA932D8046A3B88E9B37BEBDF5</vt:lpwstr>
  </property>
  <property fmtid="{D5CDD505-2E9C-101B-9397-08002B2CF9AE}" pid="3" name="ImageGenCounter">
    <vt:lpwstr>0</vt:lpwstr>
  </property>
  <property fmtid="{D5CDD505-2E9C-101B-9397-08002B2CF9AE}" pid="4" name="ViolationReportStatus">
    <vt:lpwstr>None</vt:lpwstr>
  </property>
  <property fmtid="{D5CDD505-2E9C-101B-9397-08002B2CF9AE}" pid="5" name="ImageGenStatus">
    <vt:lpwstr>0</vt:lpwstr>
  </property>
  <property fmtid="{D5CDD505-2E9C-101B-9397-08002B2CF9AE}" pid="6" name="Applications">
    <vt:lpwstr>1322;#Excel 12;#1665;# Template 12</vt:lpwstr>
  </property>
  <property fmtid="{D5CDD505-2E9C-101B-9397-08002B2CF9AE}" pid="7" name="PolicheckCounter">
    <vt:lpwstr>0</vt:lpwstr>
  </property>
  <property fmtid="{D5CDD505-2E9C-101B-9397-08002B2CF9AE}" pid="8" name="PolicheckStatus">
    <vt:lpwstr>0</vt:lpwstr>
  </property>
  <property fmtid="{D5CDD505-2E9C-101B-9397-08002B2CF9AE}" pid="9" name="APTrustLevel">
    <vt:r8>0</vt:r8>
  </property>
</Properties>
</file>